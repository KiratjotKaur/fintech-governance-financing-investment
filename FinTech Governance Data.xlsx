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1_65ED0D8DB65504FADFA1718B148BAC58B984109B" xr6:coauthVersionLast="47" xr6:coauthVersionMax="47" xr10:uidLastSave="{00000000-0000-0000-0000-000000000000}"/>
  <bookViews>
    <workbookView xWindow="-108" yWindow="-108" windowWidth="23256" windowHeight="12456" tabRatio="500" firstSheet="1" activeTab="1" xr2:uid="{00000000-000D-0000-FFFF-FFFF00000000}"/>
  </bookViews>
  <sheets>
    <sheet name="Sample Selection Criteria" sheetId="1" r:id="rId1"/>
    <sheet name="Raw Data" sheetId="2" r:id="rId2"/>
    <sheet name="Calculated Variables" sheetId="3" r:id="rId3"/>
    <sheet name="Descriptive Statistics" sheetId="4" r:id="rId4"/>
    <sheet name="Correlation Matrix" sheetId="5" r:id="rId5"/>
  </sheets>
  <definedNames>
    <definedName name="_xlnm._FilterDatabase" localSheetId="1" hidden="1">'Raw Data'!$A$1:$Q$117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03" i="3" l="1"/>
  <c r="A55" i="3"/>
  <c r="F80" i="4" s="1"/>
  <c r="O103" i="2"/>
  <c r="R101" i="2"/>
  <c r="A104" i="3" s="1"/>
  <c r="F104" i="3" s="1"/>
  <c r="O101" i="2"/>
  <c r="R100" i="2"/>
  <c r="O100" i="2"/>
  <c r="R99" i="2"/>
  <c r="A102" i="3" s="1"/>
  <c r="C127" i="4" s="1"/>
  <c r="O99" i="2"/>
  <c r="R98" i="2"/>
  <c r="A101" i="3" s="1"/>
  <c r="O98" i="2"/>
  <c r="R97" i="2"/>
  <c r="A100" i="3" s="1"/>
  <c r="F125" i="4" s="1"/>
  <c r="O97" i="2"/>
  <c r="R96" i="2"/>
  <c r="A99" i="3" s="1"/>
  <c r="O96" i="2"/>
  <c r="R95" i="2"/>
  <c r="A98" i="3" s="1"/>
  <c r="C123" i="4" s="1"/>
  <c r="O95" i="2"/>
  <c r="R94" i="2"/>
  <c r="A97" i="3" s="1"/>
  <c r="O94" i="2"/>
  <c r="R93" i="2"/>
  <c r="A96" i="3" s="1"/>
  <c r="O93" i="2"/>
  <c r="R92" i="2"/>
  <c r="A95" i="3" s="1"/>
  <c r="O92" i="2"/>
  <c r="R91" i="2"/>
  <c r="A94" i="3" s="1"/>
  <c r="D119" i="4" s="1"/>
  <c r="O91" i="2"/>
  <c r="R90" i="2"/>
  <c r="A93" i="3" s="1"/>
  <c r="O90" i="2"/>
  <c r="R89" i="2"/>
  <c r="A92" i="3" s="1"/>
  <c r="O89" i="2"/>
  <c r="R88" i="2"/>
  <c r="A91" i="3" s="1"/>
  <c r="O88" i="2"/>
  <c r="R87" i="2"/>
  <c r="A90" i="3" s="1"/>
  <c r="C115" i="4" s="1"/>
  <c r="O87" i="2"/>
  <c r="R86" i="2"/>
  <c r="A89" i="3" s="1"/>
  <c r="O86" i="2"/>
  <c r="R85" i="2"/>
  <c r="A88" i="3" s="1"/>
  <c r="O85" i="2"/>
  <c r="R84" i="2"/>
  <c r="A87" i="3" s="1"/>
  <c r="O84" i="2"/>
  <c r="R83" i="2"/>
  <c r="A86" i="3" s="1"/>
  <c r="A111" i="4" s="1"/>
  <c r="O83" i="2"/>
  <c r="R82" i="2"/>
  <c r="A85" i="3" s="1"/>
  <c r="O82" i="2"/>
  <c r="R81" i="2"/>
  <c r="A84" i="3" s="1"/>
  <c r="E109" i="4" s="1"/>
  <c r="O81" i="2"/>
  <c r="R80" i="2"/>
  <c r="A83" i="3" s="1"/>
  <c r="O80" i="2"/>
  <c r="R79" i="2"/>
  <c r="A82" i="3" s="1"/>
  <c r="E107" i="4" s="1"/>
  <c r="O79" i="2"/>
  <c r="R78" i="2"/>
  <c r="A81" i="3" s="1"/>
  <c r="E81" i="3" s="1"/>
  <c r="E106" i="4" s="1"/>
  <c r="O78" i="2"/>
  <c r="R77" i="2"/>
  <c r="A80" i="3" s="1"/>
  <c r="E105" i="4" s="1"/>
  <c r="O77" i="2"/>
  <c r="R76" i="2"/>
  <c r="A79" i="3" s="1"/>
  <c r="O76" i="2"/>
  <c r="R75" i="2"/>
  <c r="A78" i="3" s="1"/>
  <c r="D103" i="4" s="1"/>
  <c r="O75" i="2"/>
  <c r="R74" i="2"/>
  <c r="A77" i="3" s="1"/>
  <c r="O74" i="2"/>
  <c r="R73" i="2"/>
  <c r="A76" i="3" s="1"/>
  <c r="C76" i="3" s="1"/>
  <c r="O73" i="2"/>
  <c r="R72" i="2"/>
  <c r="A75" i="3" s="1"/>
  <c r="O72" i="2"/>
  <c r="R71" i="2"/>
  <c r="A74" i="3" s="1"/>
  <c r="E99" i="4" s="1"/>
  <c r="O71" i="2"/>
  <c r="R70" i="2"/>
  <c r="A73" i="3" s="1"/>
  <c r="O70" i="2"/>
  <c r="R69" i="2"/>
  <c r="A72" i="3" s="1"/>
  <c r="A97" i="4" s="1"/>
  <c r="O69" i="2"/>
  <c r="R68" i="2"/>
  <c r="A71" i="3" s="1"/>
  <c r="O68" i="2"/>
  <c r="R67" i="2"/>
  <c r="A70" i="3" s="1"/>
  <c r="E95" i="4" s="1"/>
  <c r="O67" i="2"/>
  <c r="R66" i="2"/>
  <c r="A69" i="3" s="1"/>
  <c r="O66" i="2"/>
  <c r="R65" i="2"/>
  <c r="A68" i="3" s="1"/>
  <c r="O65" i="2"/>
  <c r="R64" i="2"/>
  <c r="A67" i="3" s="1"/>
  <c r="O64" i="2"/>
  <c r="R63" i="2"/>
  <c r="A66" i="3" s="1"/>
  <c r="E91" i="4" s="1"/>
  <c r="O63" i="2"/>
  <c r="R62" i="2"/>
  <c r="A65" i="3" s="1"/>
  <c r="E65" i="3" s="1"/>
  <c r="E90" i="4" s="1"/>
  <c r="O62" i="2"/>
  <c r="R61" i="2"/>
  <c r="A64" i="3" s="1"/>
  <c r="O61" i="2"/>
  <c r="R60" i="2"/>
  <c r="A63" i="3" s="1"/>
  <c r="O60" i="2"/>
  <c r="R59" i="2"/>
  <c r="A62" i="3" s="1"/>
  <c r="D87" i="4" s="1"/>
  <c r="O59" i="2"/>
  <c r="R58" i="2"/>
  <c r="A61" i="3" s="1"/>
  <c r="O58" i="2"/>
  <c r="R57" i="2"/>
  <c r="A60" i="3" s="1"/>
  <c r="O57" i="2"/>
  <c r="R56" i="2"/>
  <c r="A59" i="3" s="1"/>
  <c r="O56" i="2"/>
  <c r="R55" i="2"/>
  <c r="A58" i="3" s="1"/>
  <c r="C83" i="4" s="1"/>
  <c r="O55" i="2"/>
  <c r="R54" i="2"/>
  <c r="A57" i="3" s="1"/>
  <c r="O54" i="2"/>
  <c r="R53" i="2"/>
  <c r="A56" i="3" s="1"/>
  <c r="O53" i="2"/>
  <c r="R52" i="2"/>
  <c r="O52" i="2"/>
  <c r="R51" i="2"/>
  <c r="A54" i="3" s="1"/>
  <c r="A79" i="4" s="1"/>
  <c r="O51" i="2"/>
  <c r="R50" i="2"/>
  <c r="A53" i="3" s="1"/>
  <c r="O50" i="2"/>
  <c r="R49" i="2"/>
  <c r="A52" i="3" s="1"/>
  <c r="E77" i="4" s="1"/>
  <c r="O49" i="2"/>
  <c r="R48" i="2"/>
  <c r="A51" i="3" s="1"/>
  <c r="O48" i="2"/>
  <c r="R47" i="2"/>
  <c r="A50" i="3" s="1"/>
  <c r="E75" i="4" s="1"/>
  <c r="O47" i="2"/>
  <c r="R46" i="2"/>
  <c r="A49" i="3" s="1"/>
  <c r="O46" i="2"/>
  <c r="R45" i="2"/>
  <c r="A48" i="3" s="1"/>
  <c r="E73" i="4" s="1"/>
  <c r="O45" i="2"/>
  <c r="R44" i="2"/>
  <c r="A47" i="3" s="1"/>
  <c r="O44" i="2"/>
  <c r="R43" i="2"/>
  <c r="A46" i="3" s="1"/>
  <c r="A71" i="4" s="1"/>
  <c r="O43" i="2"/>
  <c r="R42" i="2"/>
  <c r="A45" i="3" s="1"/>
  <c r="O42" i="2"/>
  <c r="R41" i="2"/>
  <c r="A44" i="3" s="1"/>
  <c r="O41" i="2"/>
  <c r="R40" i="2"/>
  <c r="A43" i="3" s="1"/>
  <c r="O40" i="2"/>
  <c r="R39" i="2"/>
  <c r="A42" i="3" s="1"/>
  <c r="D67" i="4" s="1"/>
  <c r="O39" i="2"/>
  <c r="R38" i="2"/>
  <c r="A41" i="3" s="1"/>
  <c r="O38" i="2"/>
  <c r="R37" i="2"/>
  <c r="A40" i="3" s="1"/>
  <c r="O37" i="2"/>
  <c r="R36" i="2"/>
  <c r="A39" i="3" s="1"/>
  <c r="O36" i="2"/>
  <c r="R35" i="2"/>
  <c r="A38" i="3" s="1"/>
  <c r="F63" i="4" s="1"/>
  <c r="O35" i="2"/>
  <c r="R34" i="2"/>
  <c r="A37" i="3" s="1"/>
  <c r="O34" i="2"/>
  <c r="R33" i="2"/>
  <c r="A36" i="3" s="1"/>
  <c r="B61" i="4" s="1"/>
  <c r="O33" i="2"/>
  <c r="R32" i="2"/>
  <c r="A35" i="3" s="1"/>
  <c r="O32" i="2"/>
  <c r="R31" i="2"/>
  <c r="A34" i="3" s="1"/>
  <c r="F59" i="4" s="1"/>
  <c r="O31" i="2"/>
  <c r="R30" i="2"/>
  <c r="A33" i="3" s="1"/>
  <c r="E33" i="3" s="1"/>
  <c r="E58" i="4" s="1"/>
  <c r="O30" i="2"/>
  <c r="R29" i="2"/>
  <c r="A32" i="3" s="1"/>
  <c r="E57" i="4" s="1"/>
  <c r="O29" i="2"/>
  <c r="R28" i="2"/>
  <c r="A31" i="3" s="1"/>
  <c r="O28" i="2"/>
  <c r="R27" i="2"/>
  <c r="A30" i="3" s="1"/>
  <c r="A55" i="4" s="1"/>
  <c r="O27" i="2"/>
  <c r="R26" i="2"/>
  <c r="A29" i="3" s="1"/>
  <c r="O26" i="2"/>
  <c r="R25" i="2"/>
  <c r="A28" i="3" s="1"/>
  <c r="C28" i="3" s="1"/>
  <c r="O25" i="2"/>
  <c r="R24" i="2"/>
  <c r="A27" i="3" s="1"/>
  <c r="O24" i="2"/>
  <c r="R23" i="2"/>
  <c r="A26" i="3" s="1"/>
  <c r="D51" i="4" s="1"/>
  <c r="O23" i="2"/>
  <c r="R22" i="2"/>
  <c r="A25" i="3" s="1"/>
  <c r="O22" i="2"/>
  <c r="R21" i="2"/>
  <c r="A24" i="3" s="1"/>
  <c r="O21" i="2"/>
  <c r="R20" i="2"/>
  <c r="A23" i="3" s="1"/>
  <c r="O20" i="2"/>
  <c r="R19" i="2"/>
  <c r="A22" i="3" s="1"/>
  <c r="F47" i="4" s="1"/>
  <c r="O19" i="2"/>
  <c r="R18" i="2"/>
  <c r="A21" i="3" s="1"/>
  <c r="O18" i="2"/>
  <c r="R17" i="2"/>
  <c r="A20" i="3" s="1"/>
  <c r="B45" i="4" s="1"/>
  <c r="O17" i="2"/>
  <c r="R16" i="2"/>
  <c r="A19" i="3" s="1"/>
  <c r="O16" i="2"/>
  <c r="R15" i="2"/>
  <c r="A18" i="3" s="1"/>
  <c r="F43" i="4" s="1"/>
  <c r="O15" i="2"/>
  <c r="R14" i="2"/>
  <c r="A17" i="3" s="1"/>
  <c r="O14" i="2"/>
  <c r="R13" i="2"/>
  <c r="A16" i="3" s="1"/>
  <c r="E41" i="4" s="1"/>
  <c r="O13" i="2"/>
  <c r="R12" i="2"/>
  <c r="A15" i="3" s="1"/>
  <c r="O12" i="2"/>
  <c r="R11" i="2"/>
  <c r="A14" i="3" s="1"/>
  <c r="B39" i="4" s="1"/>
  <c r="O11" i="2"/>
  <c r="R10" i="2"/>
  <c r="A13" i="3" s="1"/>
  <c r="O10" i="2"/>
  <c r="R9" i="2"/>
  <c r="A12" i="3" s="1"/>
  <c r="B37" i="4" s="1"/>
  <c r="O9" i="2"/>
  <c r="R8" i="2"/>
  <c r="A11" i="3" s="1"/>
  <c r="O8" i="2"/>
  <c r="R7" i="2"/>
  <c r="A10" i="3" s="1"/>
  <c r="B35" i="4" s="1"/>
  <c r="O7" i="2"/>
  <c r="R6" i="2"/>
  <c r="A9" i="3" s="1"/>
  <c r="O6" i="2"/>
  <c r="R5" i="2"/>
  <c r="A8" i="3" s="1"/>
  <c r="B33" i="4" s="1"/>
  <c r="O5" i="2"/>
  <c r="R4" i="2"/>
  <c r="A7" i="3" s="1"/>
  <c r="O4" i="2"/>
  <c r="R3" i="2"/>
  <c r="A6" i="3" s="1"/>
  <c r="B31" i="4" s="1"/>
  <c r="O3" i="2"/>
  <c r="R2" i="2"/>
  <c r="A5" i="3" s="1"/>
  <c r="F129" i="4"/>
  <c r="E129" i="4"/>
  <c r="C129" i="4"/>
  <c r="E128" i="4"/>
  <c r="C128" i="4"/>
  <c r="B128" i="4"/>
  <c r="A128" i="4"/>
  <c r="A126" i="4"/>
  <c r="E125" i="4"/>
  <c r="C125" i="4"/>
  <c r="E124" i="4"/>
  <c r="D124" i="4"/>
  <c r="C124" i="4"/>
  <c r="A124" i="4"/>
  <c r="A122" i="4"/>
  <c r="A121" i="4"/>
  <c r="E120" i="4"/>
  <c r="C120" i="4"/>
  <c r="A120" i="4"/>
  <c r="E119" i="4"/>
  <c r="A118" i="4"/>
  <c r="E117" i="4"/>
  <c r="F116" i="4"/>
  <c r="E116" i="4"/>
  <c r="C116" i="4"/>
  <c r="A116" i="4"/>
  <c r="D115" i="4"/>
  <c r="A114" i="4"/>
  <c r="C113" i="4"/>
  <c r="C111" i="4"/>
  <c r="A110" i="4"/>
  <c r="A109" i="4"/>
  <c r="F108" i="4"/>
  <c r="E108" i="4"/>
  <c r="C108" i="4"/>
  <c r="A108" i="4"/>
  <c r="A107" i="4"/>
  <c r="A106" i="4"/>
  <c r="F104" i="4"/>
  <c r="E104" i="4"/>
  <c r="C104" i="4"/>
  <c r="A104" i="4"/>
  <c r="E103" i="4"/>
  <c r="A102" i="4"/>
  <c r="E101" i="4"/>
  <c r="F100" i="4"/>
  <c r="E100" i="4"/>
  <c r="C100" i="4"/>
  <c r="A100" i="4"/>
  <c r="D99" i="4"/>
  <c r="A98" i="4"/>
  <c r="C97" i="4"/>
  <c r="C95" i="4"/>
  <c r="A94" i="4"/>
  <c r="A93" i="4"/>
  <c r="F92" i="4"/>
  <c r="E92" i="4"/>
  <c r="C92" i="4"/>
  <c r="A92" i="4"/>
  <c r="A91" i="4"/>
  <c r="A90" i="4"/>
  <c r="F88" i="4"/>
  <c r="E88" i="4"/>
  <c r="C88" i="4"/>
  <c r="A88" i="4"/>
  <c r="E87" i="4"/>
  <c r="A86" i="4"/>
  <c r="E85" i="4"/>
  <c r="F84" i="4"/>
  <c r="E84" i="4"/>
  <c r="C84" i="4"/>
  <c r="A84" i="4"/>
  <c r="D83" i="4"/>
  <c r="A82" i="4"/>
  <c r="C81" i="4"/>
  <c r="C80" i="4"/>
  <c r="C79" i="4"/>
  <c r="A78" i="4"/>
  <c r="A77" i="4"/>
  <c r="F76" i="4"/>
  <c r="E76" i="4"/>
  <c r="C76" i="4"/>
  <c r="A76" i="4"/>
  <c r="A75" i="4"/>
  <c r="A74" i="4"/>
  <c r="A73" i="4"/>
  <c r="F72" i="4"/>
  <c r="E72" i="4"/>
  <c r="C72" i="4"/>
  <c r="A72" i="4"/>
  <c r="C71" i="4"/>
  <c r="A70" i="4"/>
  <c r="C69" i="4"/>
  <c r="F68" i="4"/>
  <c r="E68" i="4"/>
  <c r="C68" i="4"/>
  <c r="A68" i="4"/>
  <c r="E67" i="4"/>
  <c r="A66" i="4"/>
  <c r="A65" i="4"/>
  <c r="C63" i="4"/>
  <c r="A62" i="4"/>
  <c r="C61" i="4"/>
  <c r="F60" i="4"/>
  <c r="E60" i="4"/>
  <c r="C60" i="4"/>
  <c r="A60" i="4"/>
  <c r="E59" i="4"/>
  <c r="A58" i="4"/>
  <c r="A57" i="4"/>
  <c r="F56" i="4"/>
  <c r="E56" i="4"/>
  <c r="C56" i="4"/>
  <c r="A56" i="4"/>
  <c r="C55" i="4"/>
  <c r="A54" i="4"/>
  <c r="C53" i="4"/>
  <c r="F52" i="4"/>
  <c r="E52" i="4"/>
  <c r="C52" i="4"/>
  <c r="A52" i="4"/>
  <c r="E51" i="4"/>
  <c r="A50" i="4"/>
  <c r="A49" i="4"/>
  <c r="C47" i="4"/>
  <c r="A46" i="4"/>
  <c r="C45" i="4"/>
  <c r="F44" i="4"/>
  <c r="E44" i="4"/>
  <c r="C44" i="4"/>
  <c r="A44" i="4"/>
  <c r="E43" i="4"/>
  <c r="A42" i="4"/>
  <c r="A41" i="4"/>
  <c r="F40" i="4"/>
  <c r="E40" i="4"/>
  <c r="C40" i="4"/>
  <c r="A40" i="4"/>
  <c r="C39" i="4"/>
  <c r="A38" i="4"/>
  <c r="C37" i="4"/>
  <c r="F36" i="4"/>
  <c r="E36" i="4"/>
  <c r="D36" i="4"/>
  <c r="C36" i="4"/>
  <c r="B36" i="4"/>
  <c r="A36" i="4"/>
  <c r="C35" i="4"/>
  <c r="A34" i="4"/>
  <c r="C33" i="4"/>
  <c r="C31" i="4"/>
  <c r="A30" i="4"/>
  <c r="E23" i="3" l="1"/>
  <c r="C23" i="3"/>
  <c r="B23" i="3"/>
  <c r="F23" i="3"/>
  <c r="D48" i="4"/>
  <c r="D23" i="3"/>
  <c r="B48" i="4"/>
  <c r="C48" i="4"/>
  <c r="A48" i="4"/>
  <c r="F48" i="4"/>
  <c r="E48" i="4"/>
  <c r="E87" i="3"/>
  <c r="C87" i="3"/>
  <c r="B87" i="3"/>
  <c r="F87" i="3"/>
  <c r="D112" i="4"/>
  <c r="D87" i="3"/>
  <c r="B112" i="4"/>
  <c r="F112" i="4"/>
  <c r="E112" i="4"/>
  <c r="C112" i="4"/>
  <c r="A112" i="4"/>
  <c r="E7" i="3"/>
  <c r="C7" i="3"/>
  <c r="B7" i="3"/>
  <c r="F7" i="3"/>
  <c r="D7" i="3"/>
  <c r="F32" i="4"/>
  <c r="E32" i="4"/>
  <c r="D32" i="4"/>
  <c r="C32" i="4"/>
  <c r="B32" i="4"/>
  <c r="A32" i="4"/>
  <c r="E71" i="3"/>
  <c r="C71" i="3"/>
  <c r="B71" i="3"/>
  <c r="F71" i="3"/>
  <c r="D96" i="4"/>
  <c r="D71" i="3"/>
  <c r="B96" i="4"/>
  <c r="E96" i="4"/>
  <c r="C96" i="4"/>
  <c r="A96" i="4"/>
  <c r="F96" i="4"/>
  <c r="E39" i="3"/>
  <c r="C39" i="3"/>
  <c r="B39" i="3"/>
  <c r="F39" i="3"/>
  <c r="D64" i="4"/>
  <c r="D39" i="3"/>
  <c r="B64" i="4"/>
  <c r="C64" i="4"/>
  <c r="A64" i="4"/>
  <c r="F64" i="4"/>
  <c r="E64" i="4"/>
  <c r="E31" i="4"/>
  <c r="A33" i="4"/>
  <c r="E35" i="4"/>
  <c r="A37" i="4"/>
  <c r="E39" i="4"/>
  <c r="C41" i="4"/>
  <c r="C43" i="4"/>
  <c r="A45" i="4"/>
  <c r="E55" i="4"/>
  <c r="C57" i="4"/>
  <c r="C59" i="4"/>
  <c r="A61" i="4"/>
  <c r="E71" i="4"/>
  <c r="C73" i="4"/>
  <c r="D75" i="4"/>
  <c r="E79" i="4"/>
  <c r="A99" i="4"/>
  <c r="A101" i="4"/>
  <c r="C103" i="4"/>
  <c r="C105" i="4"/>
  <c r="D107" i="4"/>
  <c r="E111" i="4"/>
  <c r="A123" i="4"/>
  <c r="E11" i="3"/>
  <c r="C11" i="3"/>
  <c r="B11" i="3"/>
  <c r="F11" i="3"/>
  <c r="D11" i="3"/>
  <c r="E15" i="3"/>
  <c r="C15" i="3"/>
  <c r="B15" i="3"/>
  <c r="F15" i="3"/>
  <c r="D15" i="3"/>
  <c r="D40" i="4"/>
  <c r="B40" i="4"/>
  <c r="E19" i="3"/>
  <c r="C19" i="3"/>
  <c r="B19" i="3"/>
  <c r="F19" i="3"/>
  <c r="D19" i="3"/>
  <c r="D44" i="4"/>
  <c r="B44" i="4"/>
  <c r="E27" i="3"/>
  <c r="C27" i="3"/>
  <c r="B27" i="3"/>
  <c r="F27" i="3"/>
  <c r="D27" i="3"/>
  <c r="D52" i="4"/>
  <c r="B52" i="4"/>
  <c r="E31" i="3"/>
  <c r="C31" i="3"/>
  <c r="B31" i="3"/>
  <c r="F31" i="3"/>
  <c r="D31" i="3"/>
  <c r="D56" i="4"/>
  <c r="B56" i="4"/>
  <c r="E35" i="3"/>
  <c r="C35" i="3"/>
  <c r="B35" i="3"/>
  <c r="F35" i="3"/>
  <c r="D35" i="3"/>
  <c r="D60" i="4"/>
  <c r="B60" i="4"/>
  <c r="E43" i="3"/>
  <c r="C43" i="3"/>
  <c r="B43" i="3"/>
  <c r="F43" i="3"/>
  <c r="D43" i="3"/>
  <c r="D68" i="4"/>
  <c r="B68" i="4"/>
  <c r="E47" i="3"/>
  <c r="C47" i="3"/>
  <c r="B47" i="3"/>
  <c r="F47" i="3"/>
  <c r="D47" i="3"/>
  <c r="D72" i="4"/>
  <c r="B72" i="4"/>
  <c r="E51" i="3"/>
  <c r="C51" i="3"/>
  <c r="B51" i="3"/>
  <c r="F51" i="3"/>
  <c r="D51" i="3"/>
  <c r="D76" i="4"/>
  <c r="B76" i="4"/>
  <c r="E59" i="3"/>
  <c r="C59" i="3"/>
  <c r="B59" i="3"/>
  <c r="F59" i="3"/>
  <c r="D59" i="3"/>
  <c r="D84" i="4"/>
  <c r="B84" i="4"/>
  <c r="E63" i="3"/>
  <c r="C63" i="3"/>
  <c r="B63" i="3"/>
  <c r="F63" i="3"/>
  <c r="D63" i="3"/>
  <c r="D88" i="4"/>
  <c r="B88" i="4"/>
  <c r="E67" i="3"/>
  <c r="C67" i="3"/>
  <c r="B67" i="3"/>
  <c r="F67" i="3"/>
  <c r="D67" i="3"/>
  <c r="D92" i="4"/>
  <c r="B92" i="4"/>
  <c r="E75" i="3"/>
  <c r="C75" i="3"/>
  <c r="B75" i="3"/>
  <c r="F75" i="3"/>
  <c r="D75" i="3"/>
  <c r="D100" i="4"/>
  <c r="B100" i="4"/>
  <c r="E79" i="3"/>
  <c r="C79" i="3"/>
  <c r="B79" i="3"/>
  <c r="F79" i="3"/>
  <c r="D79" i="3"/>
  <c r="D104" i="4"/>
  <c r="B104" i="4"/>
  <c r="E83" i="3"/>
  <c r="C83" i="3"/>
  <c r="B83" i="3"/>
  <c r="F83" i="3"/>
  <c r="D83" i="3"/>
  <c r="D108" i="4"/>
  <c r="B108" i="4"/>
  <c r="E91" i="3"/>
  <c r="C91" i="3"/>
  <c r="B91" i="3"/>
  <c r="F91" i="3"/>
  <c r="D91" i="3"/>
  <c r="D116" i="4"/>
  <c r="B116" i="4"/>
  <c r="E95" i="3"/>
  <c r="C95" i="3"/>
  <c r="B95" i="3"/>
  <c r="F95" i="3"/>
  <c r="F120" i="4"/>
  <c r="D95" i="3"/>
  <c r="D120" i="4"/>
  <c r="B120" i="4"/>
  <c r="E99" i="3"/>
  <c r="C99" i="3"/>
  <c r="B99" i="3"/>
  <c r="F99" i="3"/>
  <c r="F124" i="4"/>
  <c r="D99" i="3"/>
  <c r="B124" i="4"/>
  <c r="F31" i="4"/>
  <c r="F35" i="4"/>
  <c r="F39" i="4"/>
  <c r="D43" i="4"/>
  <c r="A47" i="4"/>
  <c r="F55" i="4"/>
  <c r="D59" i="4"/>
  <c r="A63" i="4"/>
  <c r="F71" i="4"/>
  <c r="A80" i="4"/>
  <c r="A95" i="4"/>
  <c r="C99" i="4"/>
  <c r="C101" i="4"/>
  <c r="E8" i="3"/>
  <c r="D8" i="3"/>
  <c r="B8" i="3"/>
  <c r="F8" i="3"/>
  <c r="C8" i="3"/>
  <c r="E12" i="3"/>
  <c r="D12" i="3"/>
  <c r="B12" i="3"/>
  <c r="F12" i="3"/>
  <c r="E16" i="3"/>
  <c r="D16" i="3"/>
  <c r="B16" i="3"/>
  <c r="F16" i="3"/>
  <c r="C16" i="3"/>
  <c r="F41" i="4"/>
  <c r="D41" i="4"/>
  <c r="E20" i="3"/>
  <c r="D20" i="3"/>
  <c r="B20" i="3"/>
  <c r="F20" i="3"/>
  <c r="C20" i="3"/>
  <c r="F45" i="4"/>
  <c r="D45" i="4"/>
  <c r="E24" i="3"/>
  <c r="D24" i="3"/>
  <c r="B24" i="3"/>
  <c r="F24" i="3"/>
  <c r="F49" i="4"/>
  <c r="C24" i="3"/>
  <c r="D49" i="4"/>
  <c r="E28" i="3"/>
  <c r="D28" i="3"/>
  <c r="B28" i="3"/>
  <c r="F53" i="4"/>
  <c r="F28" i="3"/>
  <c r="D53" i="4"/>
  <c r="E32" i="3"/>
  <c r="D32" i="3"/>
  <c r="B32" i="3"/>
  <c r="F32" i="3"/>
  <c r="C32" i="3"/>
  <c r="F57" i="4"/>
  <c r="D57" i="4"/>
  <c r="E36" i="3"/>
  <c r="D36" i="3"/>
  <c r="B36" i="3"/>
  <c r="F36" i="3"/>
  <c r="C36" i="3"/>
  <c r="F61" i="4"/>
  <c r="D61" i="4"/>
  <c r="E40" i="3"/>
  <c r="D40" i="3"/>
  <c r="B40" i="3"/>
  <c r="F40" i="3"/>
  <c r="F65" i="4"/>
  <c r="C40" i="3"/>
  <c r="D65" i="4"/>
  <c r="E44" i="3"/>
  <c r="D44" i="3"/>
  <c r="B44" i="3"/>
  <c r="F69" i="4"/>
  <c r="F44" i="3"/>
  <c r="D69" i="4"/>
  <c r="E48" i="3"/>
  <c r="D48" i="3"/>
  <c r="B48" i="3"/>
  <c r="F48" i="3"/>
  <c r="C48" i="3"/>
  <c r="F73" i="4"/>
  <c r="D73" i="4"/>
  <c r="E52" i="3"/>
  <c r="D52" i="3"/>
  <c r="B52" i="3"/>
  <c r="B77" i="4"/>
  <c r="F52" i="3"/>
  <c r="C52" i="3"/>
  <c r="F77" i="4"/>
  <c r="D77" i="4"/>
  <c r="E56" i="3"/>
  <c r="D56" i="3"/>
  <c r="B56" i="3"/>
  <c r="B81" i="4"/>
  <c r="F56" i="3"/>
  <c r="F81" i="4"/>
  <c r="C56" i="3"/>
  <c r="D81" i="4"/>
  <c r="E60" i="3"/>
  <c r="D60" i="3"/>
  <c r="B60" i="3"/>
  <c r="B85" i="4"/>
  <c r="F85" i="4"/>
  <c r="F60" i="3"/>
  <c r="D85" i="4"/>
  <c r="E64" i="3"/>
  <c r="D64" i="3"/>
  <c r="B64" i="3"/>
  <c r="F64" i="3"/>
  <c r="B89" i="4"/>
  <c r="C64" i="3"/>
  <c r="F89" i="4"/>
  <c r="D89" i="4"/>
  <c r="E68" i="3"/>
  <c r="D68" i="3"/>
  <c r="B68" i="3"/>
  <c r="B93" i="4"/>
  <c r="F68" i="3"/>
  <c r="C68" i="3"/>
  <c r="F93" i="4"/>
  <c r="D93" i="4"/>
  <c r="E72" i="3"/>
  <c r="D72" i="3"/>
  <c r="B72" i="3"/>
  <c r="B97" i="4"/>
  <c r="F72" i="3"/>
  <c r="F97" i="4"/>
  <c r="C72" i="3"/>
  <c r="D97" i="4"/>
  <c r="E76" i="3"/>
  <c r="D76" i="3"/>
  <c r="B76" i="3"/>
  <c r="B101" i="4"/>
  <c r="F101" i="4"/>
  <c r="F76" i="3"/>
  <c r="D101" i="4"/>
  <c r="E80" i="3"/>
  <c r="D80" i="3"/>
  <c r="B80" i="3"/>
  <c r="F80" i="3"/>
  <c r="B105" i="4"/>
  <c r="C80" i="3"/>
  <c r="F105" i="4"/>
  <c r="D105" i="4"/>
  <c r="E84" i="3"/>
  <c r="D84" i="3"/>
  <c r="B84" i="3"/>
  <c r="B109" i="4"/>
  <c r="F84" i="3"/>
  <c r="C84" i="3"/>
  <c r="F109" i="4"/>
  <c r="D109" i="4"/>
  <c r="E88" i="3"/>
  <c r="D88" i="3"/>
  <c r="B88" i="3"/>
  <c r="B113" i="4"/>
  <c r="F88" i="3"/>
  <c r="F113" i="4"/>
  <c r="C88" i="3"/>
  <c r="D113" i="4"/>
  <c r="E92" i="3"/>
  <c r="D92" i="3"/>
  <c r="B92" i="3"/>
  <c r="B117" i="4"/>
  <c r="F117" i="4"/>
  <c r="F92" i="3"/>
  <c r="D117" i="4"/>
  <c r="E96" i="3"/>
  <c r="D96" i="3"/>
  <c r="B96" i="3"/>
  <c r="B121" i="4"/>
  <c r="F96" i="3"/>
  <c r="D121" i="4"/>
  <c r="C96" i="3"/>
  <c r="F121" i="4"/>
  <c r="D33" i="4"/>
  <c r="D37" i="4"/>
  <c r="E45" i="4"/>
  <c r="D47" i="4"/>
  <c r="B49" i="4"/>
  <c r="A51" i="4"/>
  <c r="E61" i="4"/>
  <c r="D63" i="4"/>
  <c r="B65" i="4"/>
  <c r="A67" i="4"/>
  <c r="E80" i="4"/>
  <c r="A87" i="4"/>
  <c r="A89" i="4"/>
  <c r="C91" i="4"/>
  <c r="C93" i="4"/>
  <c r="D95" i="4"/>
  <c r="E97" i="4"/>
  <c r="A119" i="4"/>
  <c r="C121" i="4"/>
  <c r="A127" i="4"/>
  <c r="A31" i="4"/>
  <c r="E33" i="4"/>
  <c r="A35" i="4"/>
  <c r="E37" i="4"/>
  <c r="A39" i="4"/>
  <c r="E47" i="4"/>
  <c r="C49" i="4"/>
  <c r="C51" i="4"/>
  <c r="A53" i="4"/>
  <c r="E63" i="4"/>
  <c r="C65" i="4"/>
  <c r="C67" i="4"/>
  <c r="A69" i="4"/>
  <c r="A83" i="4"/>
  <c r="A85" i="4"/>
  <c r="C87" i="4"/>
  <c r="C89" i="4"/>
  <c r="D91" i="4"/>
  <c r="E93" i="4"/>
  <c r="A115" i="4"/>
  <c r="A117" i="4"/>
  <c r="C119" i="4"/>
  <c r="E121" i="4"/>
  <c r="F5" i="3"/>
  <c r="D5" i="3"/>
  <c r="C5" i="3"/>
  <c r="B5" i="3"/>
  <c r="F9" i="3"/>
  <c r="F34" i="4" s="1"/>
  <c r="D9" i="3"/>
  <c r="D34" i="4" s="1"/>
  <c r="C9" i="3"/>
  <c r="C34" i="4" s="1"/>
  <c r="B9" i="3"/>
  <c r="B34" i="4" s="1"/>
  <c r="E9" i="3"/>
  <c r="E34" i="4" s="1"/>
  <c r="F13" i="3"/>
  <c r="F38" i="4" s="1"/>
  <c r="D13" i="3"/>
  <c r="D38" i="4" s="1"/>
  <c r="C13" i="3"/>
  <c r="C38" i="4" s="1"/>
  <c r="B13" i="3"/>
  <c r="B38" i="4" s="1"/>
  <c r="E13" i="3"/>
  <c r="E38" i="4" s="1"/>
  <c r="F17" i="3"/>
  <c r="D17" i="3"/>
  <c r="D42" i="4" s="1"/>
  <c r="C17" i="3"/>
  <c r="C42" i="4" s="1"/>
  <c r="B17" i="3"/>
  <c r="B42" i="4" s="1"/>
  <c r="F42" i="4"/>
  <c r="F21" i="3"/>
  <c r="D21" i="3"/>
  <c r="D46" i="4" s="1"/>
  <c r="C21" i="3"/>
  <c r="C46" i="4" s="1"/>
  <c r="B21" i="3"/>
  <c r="B46" i="4" s="1"/>
  <c r="E21" i="3"/>
  <c r="E46" i="4" s="1"/>
  <c r="F46" i="4"/>
  <c r="F25" i="3"/>
  <c r="F50" i="4" s="1"/>
  <c r="D25" i="3"/>
  <c r="D50" i="4" s="1"/>
  <c r="C25" i="3"/>
  <c r="C50" i="4" s="1"/>
  <c r="B25" i="3"/>
  <c r="B50" i="4" s="1"/>
  <c r="E25" i="3"/>
  <c r="E50" i="4" s="1"/>
  <c r="F29" i="3"/>
  <c r="D29" i="3"/>
  <c r="D54" i="4" s="1"/>
  <c r="C29" i="3"/>
  <c r="C54" i="4" s="1"/>
  <c r="B29" i="3"/>
  <c r="B54" i="4" s="1"/>
  <c r="E29" i="3"/>
  <c r="E54" i="4" s="1"/>
  <c r="F54" i="4"/>
  <c r="F33" i="3"/>
  <c r="D33" i="3"/>
  <c r="D58" i="4" s="1"/>
  <c r="C33" i="3"/>
  <c r="C58" i="4" s="1"/>
  <c r="B33" i="3"/>
  <c r="B58" i="4" s="1"/>
  <c r="F58" i="4"/>
  <c r="F37" i="3"/>
  <c r="D37" i="3"/>
  <c r="D62" i="4" s="1"/>
  <c r="C37" i="3"/>
  <c r="C62" i="4" s="1"/>
  <c r="B37" i="3"/>
  <c r="B62" i="4" s="1"/>
  <c r="E37" i="3"/>
  <c r="E62" i="4" s="1"/>
  <c r="F62" i="4"/>
  <c r="F41" i="3"/>
  <c r="F66" i="4" s="1"/>
  <c r="D41" i="3"/>
  <c r="D66" i="4" s="1"/>
  <c r="C41" i="3"/>
  <c r="C66" i="4" s="1"/>
  <c r="B41" i="3"/>
  <c r="B66" i="4" s="1"/>
  <c r="E41" i="3"/>
  <c r="E66" i="4" s="1"/>
  <c r="F45" i="3"/>
  <c r="D45" i="3"/>
  <c r="D70" i="4" s="1"/>
  <c r="C45" i="3"/>
  <c r="C70" i="4" s="1"/>
  <c r="B45" i="3"/>
  <c r="B70" i="4" s="1"/>
  <c r="E45" i="3"/>
  <c r="E70" i="4" s="1"/>
  <c r="F70" i="4"/>
  <c r="F49" i="3"/>
  <c r="D49" i="3"/>
  <c r="C49" i="3"/>
  <c r="C74" i="4" s="1"/>
  <c r="B49" i="3"/>
  <c r="B74" i="4" s="1"/>
  <c r="D74" i="4"/>
  <c r="F74" i="4"/>
  <c r="F53" i="3"/>
  <c r="D53" i="3"/>
  <c r="D78" i="4" s="1"/>
  <c r="C53" i="3"/>
  <c r="C78" i="4" s="1"/>
  <c r="B53" i="3"/>
  <c r="B78" i="4" s="1"/>
  <c r="E53" i="3"/>
  <c r="E78" i="4" s="1"/>
  <c r="F78" i="4"/>
  <c r="F57" i="3"/>
  <c r="F82" i="4" s="1"/>
  <c r="D57" i="3"/>
  <c r="C57" i="3"/>
  <c r="C82" i="4" s="1"/>
  <c r="B57" i="3"/>
  <c r="B82" i="4" s="1"/>
  <c r="D82" i="4"/>
  <c r="E57" i="3"/>
  <c r="E82" i="4" s="1"/>
  <c r="F61" i="3"/>
  <c r="F86" i="4" s="1"/>
  <c r="D61" i="3"/>
  <c r="D86" i="4" s="1"/>
  <c r="C61" i="3"/>
  <c r="C86" i="4" s="1"/>
  <c r="B61" i="3"/>
  <c r="B86" i="4" s="1"/>
  <c r="E61" i="3"/>
  <c r="E86" i="4" s="1"/>
  <c r="F65" i="3"/>
  <c r="D65" i="3"/>
  <c r="D90" i="4" s="1"/>
  <c r="C65" i="3"/>
  <c r="C90" i="4" s="1"/>
  <c r="B65" i="3"/>
  <c r="B90" i="4" s="1"/>
  <c r="F90" i="4"/>
  <c r="F69" i="3"/>
  <c r="F94" i="4" s="1"/>
  <c r="D69" i="3"/>
  <c r="C69" i="3"/>
  <c r="C94" i="4" s="1"/>
  <c r="B69" i="3"/>
  <c r="B94" i="4" s="1"/>
  <c r="D94" i="4"/>
  <c r="E69" i="3"/>
  <c r="E94" i="4" s="1"/>
  <c r="F73" i="3"/>
  <c r="F98" i="4" s="1"/>
  <c r="D73" i="3"/>
  <c r="C73" i="3"/>
  <c r="C98" i="4" s="1"/>
  <c r="B73" i="3"/>
  <c r="B98" i="4" s="1"/>
  <c r="D98" i="4"/>
  <c r="E73" i="3"/>
  <c r="E98" i="4" s="1"/>
  <c r="F77" i="3"/>
  <c r="D77" i="3"/>
  <c r="D102" i="4" s="1"/>
  <c r="C77" i="3"/>
  <c r="C102" i="4" s="1"/>
  <c r="B77" i="3"/>
  <c r="B102" i="4" s="1"/>
  <c r="E77" i="3"/>
  <c r="E102" i="4" s="1"/>
  <c r="F102" i="4"/>
  <c r="F81" i="3"/>
  <c r="D81" i="3"/>
  <c r="D106" i="4" s="1"/>
  <c r="C81" i="3"/>
  <c r="C106" i="4" s="1"/>
  <c r="B81" i="3"/>
  <c r="B106" i="4" s="1"/>
  <c r="F106" i="4"/>
  <c r="F85" i="3"/>
  <c r="F110" i="4" s="1"/>
  <c r="D85" i="3"/>
  <c r="D110" i="4" s="1"/>
  <c r="C85" i="3"/>
  <c r="C110" i="4" s="1"/>
  <c r="B85" i="3"/>
  <c r="B110" i="4" s="1"/>
  <c r="E85" i="3"/>
  <c r="E110" i="4" s="1"/>
  <c r="F89" i="3"/>
  <c r="D89" i="3"/>
  <c r="D114" i="4" s="1"/>
  <c r="C89" i="3"/>
  <c r="C114" i="4" s="1"/>
  <c r="B89" i="3"/>
  <c r="B114" i="4" s="1"/>
  <c r="E89" i="3"/>
  <c r="E114" i="4" s="1"/>
  <c r="F114" i="4"/>
  <c r="F93" i="3"/>
  <c r="D93" i="3"/>
  <c r="D118" i="4" s="1"/>
  <c r="C93" i="3"/>
  <c r="C118" i="4" s="1"/>
  <c r="B93" i="3"/>
  <c r="B118" i="4" s="1"/>
  <c r="E93" i="3"/>
  <c r="E118" i="4" s="1"/>
  <c r="F118" i="4"/>
  <c r="F97" i="3"/>
  <c r="F122" i="4" s="1"/>
  <c r="D97" i="3"/>
  <c r="D122" i="4"/>
  <c r="C97" i="3"/>
  <c r="C122" i="4" s="1"/>
  <c r="B97" i="3"/>
  <c r="B122" i="4" s="1"/>
  <c r="F101" i="3"/>
  <c r="F126" i="4" s="1"/>
  <c r="D101" i="3"/>
  <c r="D126" i="4" s="1"/>
  <c r="C101" i="3"/>
  <c r="C126" i="4" s="1"/>
  <c r="B101" i="3"/>
  <c r="B126" i="4"/>
  <c r="E101" i="3"/>
  <c r="E126" i="4" s="1"/>
  <c r="E5" i="3"/>
  <c r="C44" i="3"/>
  <c r="F33" i="4"/>
  <c r="F37" i="4"/>
  <c r="E49" i="4"/>
  <c r="B53" i="4"/>
  <c r="E65" i="4"/>
  <c r="B69" i="4"/>
  <c r="A81" i="4"/>
  <c r="C85" i="4"/>
  <c r="E89" i="4"/>
  <c r="A113" i="4"/>
  <c r="C117" i="4"/>
  <c r="E49" i="3"/>
  <c r="E74" i="4" s="1"/>
  <c r="C92" i="3"/>
  <c r="C10" i="3"/>
  <c r="F10" i="3"/>
  <c r="E10" i="3"/>
  <c r="D10" i="3"/>
  <c r="B10" i="3"/>
  <c r="C14" i="3"/>
  <c r="F14" i="3"/>
  <c r="E14" i="3"/>
  <c r="D14" i="3"/>
  <c r="B14" i="3"/>
  <c r="C22" i="3"/>
  <c r="F22" i="3"/>
  <c r="E22" i="3"/>
  <c r="D22" i="3"/>
  <c r="B22" i="3"/>
  <c r="B47" i="4"/>
  <c r="C30" i="3"/>
  <c r="F30" i="3"/>
  <c r="E30" i="3"/>
  <c r="D30" i="3"/>
  <c r="B30" i="3"/>
  <c r="B55" i="4"/>
  <c r="C38" i="3"/>
  <c r="F38" i="3"/>
  <c r="E38" i="3"/>
  <c r="D38" i="3"/>
  <c r="B38" i="3"/>
  <c r="B63" i="4"/>
  <c r="C54" i="3"/>
  <c r="F54" i="3"/>
  <c r="E54" i="3"/>
  <c r="D54" i="3"/>
  <c r="B54" i="3"/>
  <c r="F79" i="4"/>
  <c r="B79" i="4"/>
  <c r="C62" i="3"/>
  <c r="F62" i="3"/>
  <c r="E62" i="3"/>
  <c r="D62" i="3"/>
  <c r="F87" i="4"/>
  <c r="B62" i="3"/>
  <c r="B87" i="4"/>
  <c r="C70" i="3"/>
  <c r="F70" i="3"/>
  <c r="E70" i="3"/>
  <c r="D70" i="3"/>
  <c r="B70" i="3"/>
  <c r="F95" i="4"/>
  <c r="B95" i="4"/>
  <c r="C78" i="3"/>
  <c r="F78" i="3"/>
  <c r="E78" i="3"/>
  <c r="D78" i="3"/>
  <c r="F103" i="4"/>
  <c r="B78" i="3"/>
  <c r="B103" i="4"/>
  <c r="C86" i="3"/>
  <c r="F86" i="3"/>
  <c r="E86" i="3"/>
  <c r="D86" i="3"/>
  <c r="B86" i="3"/>
  <c r="F111" i="4"/>
  <c r="B111" i="4"/>
  <c r="C94" i="3"/>
  <c r="F94" i="3"/>
  <c r="E94" i="3"/>
  <c r="D94" i="3"/>
  <c r="F119" i="4"/>
  <c r="B94" i="3"/>
  <c r="B119" i="4"/>
  <c r="C98" i="3"/>
  <c r="F98" i="3"/>
  <c r="F123" i="4"/>
  <c r="E98" i="3"/>
  <c r="D98" i="3"/>
  <c r="D123" i="4"/>
  <c r="B123" i="4"/>
  <c r="B98" i="3"/>
  <c r="E123" i="4"/>
  <c r="C12" i="3"/>
  <c r="E55" i="3"/>
  <c r="C55" i="3"/>
  <c r="B55" i="3"/>
  <c r="F55" i="3"/>
  <c r="D80" i="4"/>
  <c r="D55" i="3"/>
  <c r="B80" i="4"/>
  <c r="E97" i="3"/>
  <c r="E122" i="4" s="1"/>
  <c r="C6" i="3"/>
  <c r="F6" i="3"/>
  <c r="E6" i="3"/>
  <c r="D6" i="3"/>
  <c r="B6" i="3"/>
  <c r="C18" i="3"/>
  <c r="F18" i="3"/>
  <c r="E18" i="3"/>
  <c r="D18" i="3"/>
  <c r="B43" i="4"/>
  <c r="B18" i="3"/>
  <c r="C26" i="3"/>
  <c r="F26" i="3"/>
  <c r="E26" i="3"/>
  <c r="D26" i="3"/>
  <c r="B26" i="3"/>
  <c r="B51" i="4"/>
  <c r="C34" i="3"/>
  <c r="F34" i="3"/>
  <c r="E34" i="3"/>
  <c r="D34" i="3"/>
  <c r="B59" i="4"/>
  <c r="B34" i="3"/>
  <c r="C42" i="3"/>
  <c r="F42" i="3"/>
  <c r="E42" i="3"/>
  <c r="D42" i="3"/>
  <c r="B42" i="3"/>
  <c r="B67" i="4"/>
  <c r="C46" i="3"/>
  <c r="F46" i="3"/>
  <c r="E46" i="3"/>
  <c r="D46" i="3"/>
  <c r="B46" i="3"/>
  <c r="B71" i="4"/>
  <c r="C50" i="3"/>
  <c r="F50" i="3"/>
  <c r="E50" i="3"/>
  <c r="D50" i="3"/>
  <c r="F75" i="4"/>
  <c r="B75" i="4"/>
  <c r="B50" i="3"/>
  <c r="C58" i="3"/>
  <c r="F58" i="3"/>
  <c r="E58" i="3"/>
  <c r="D58" i="3"/>
  <c r="F83" i="4"/>
  <c r="B58" i="3"/>
  <c r="B83" i="4"/>
  <c r="C66" i="3"/>
  <c r="F66" i="3"/>
  <c r="E66" i="3"/>
  <c r="D66" i="3"/>
  <c r="F91" i="4"/>
  <c r="B91" i="4"/>
  <c r="B66" i="3"/>
  <c r="C74" i="3"/>
  <c r="F74" i="3"/>
  <c r="E74" i="3"/>
  <c r="D74" i="3"/>
  <c r="F99" i="4"/>
  <c r="B74" i="3"/>
  <c r="B99" i="4"/>
  <c r="C82" i="3"/>
  <c r="F82" i="3"/>
  <c r="E82" i="3"/>
  <c r="D82" i="3"/>
  <c r="F107" i="4"/>
  <c r="B107" i="4"/>
  <c r="B82" i="3"/>
  <c r="C90" i="3"/>
  <c r="F90" i="3"/>
  <c r="E90" i="3"/>
  <c r="D90" i="3"/>
  <c r="F115" i="4"/>
  <c r="B90" i="3"/>
  <c r="B115" i="4"/>
  <c r="C102" i="3"/>
  <c r="F102" i="3"/>
  <c r="F127" i="4"/>
  <c r="E102" i="3"/>
  <c r="D102" i="3"/>
  <c r="D127" i="4"/>
  <c r="B102" i="3"/>
  <c r="E127" i="4"/>
  <c r="B127" i="4"/>
  <c r="D31" i="4"/>
  <c r="D35" i="4"/>
  <c r="D39" i="4"/>
  <c r="B41" i="4"/>
  <c r="A43" i="4"/>
  <c r="F51" i="4"/>
  <c r="E53" i="4"/>
  <c r="D55" i="4"/>
  <c r="B57" i="4"/>
  <c r="A59" i="4"/>
  <c r="F67" i="4"/>
  <c r="E69" i="4"/>
  <c r="D71" i="4"/>
  <c r="B73" i="4"/>
  <c r="C75" i="4"/>
  <c r="C77" i="4"/>
  <c r="D79" i="4"/>
  <c r="E81" i="4"/>
  <c r="E83" i="4"/>
  <c r="A103" i="4"/>
  <c r="A105" i="4"/>
  <c r="C107" i="4"/>
  <c r="C109" i="4"/>
  <c r="D111" i="4"/>
  <c r="E113" i="4"/>
  <c r="E115" i="4"/>
  <c r="E17" i="3"/>
  <c r="E42" i="4" s="1"/>
  <c r="C60" i="3"/>
  <c r="E103" i="3"/>
  <c r="C103" i="3"/>
  <c r="B103" i="3"/>
  <c r="F103" i="3"/>
  <c r="F128" i="4"/>
  <c r="D128" i="4"/>
  <c r="D103" i="3"/>
  <c r="D125" i="4"/>
  <c r="A129" i="4"/>
  <c r="C104" i="3"/>
  <c r="D129" i="4"/>
  <c r="E100" i="3"/>
  <c r="D100" i="3"/>
  <c r="B100" i="3"/>
  <c r="B125" i="4"/>
  <c r="E104" i="3"/>
  <c r="D104" i="3"/>
  <c r="B104" i="3"/>
  <c r="B129" i="4"/>
  <c r="C100" i="3"/>
  <c r="F100" i="3"/>
  <c r="A125" i="4"/>
  <c r="F9" i="5" l="1"/>
  <c r="E10" i="5" s="1"/>
  <c r="E9" i="5"/>
  <c r="E9" i="4"/>
  <c r="D9" i="4"/>
  <c r="C9" i="4"/>
  <c r="B9" i="4"/>
  <c r="E30" i="4"/>
  <c r="G9" i="4"/>
  <c r="F9" i="4"/>
  <c r="B6" i="5"/>
  <c r="E6" i="5"/>
  <c r="B9" i="5" s="1"/>
  <c r="D6" i="5"/>
  <c r="B8" i="5" s="1"/>
  <c r="C6" i="5"/>
  <c r="B7" i="5" s="1"/>
  <c r="F6" i="5"/>
  <c r="B10" i="5" s="1"/>
  <c r="B30" i="4"/>
  <c r="G6" i="4"/>
  <c r="D6" i="4"/>
  <c r="F6" i="4"/>
  <c r="B6" i="4"/>
  <c r="E6" i="4"/>
  <c r="C6" i="4"/>
  <c r="F8" i="5"/>
  <c r="D10" i="5" s="1"/>
  <c r="E8" i="5"/>
  <c r="D9" i="5" s="1"/>
  <c r="D8" i="5"/>
  <c r="C8" i="4"/>
  <c r="B8" i="4"/>
  <c r="F8" i="4"/>
  <c r="G8" i="4"/>
  <c r="D30" i="4"/>
  <c r="E8" i="4"/>
  <c r="D8" i="4"/>
  <c r="F10" i="5"/>
  <c r="G10" i="4"/>
  <c r="F10" i="4"/>
  <c r="E10" i="4"/>
  <c r="D10" i="4"/>
  <c r="F30" i="4"/>
  <c r="C10" i="4"/>
  <c r="B10" i="4"/>
  <c r="E7" i="5"/>
  <c r="C9" i="5" s="1"/>
  <c r="C7" i="5"/>
  <c r="F7" i="5"/>
  <c r="C10" i="5" s="1"/>
  <c r="D7" i="5"/>
  <c r="C8" i="5" s="1"/>
  <c r="D7" i="4"/>
  <c r="B7" i="4"/>
  <c r="G7" i="4"/>
  <c r="F7" i="4"/>
  <c r="E7" i="4"/>
  <c r="C7" i="4"/>
  <c r="C30" i="4"/>
  <c r="D15" i="4" l="1"/>
  <c r="G15" i="4"/>
  <c r="F15" i="4"/>
  <c r="E15" i="4"/>
  <c r="C15" i="4"/>
  <c r="B15" i="4"/>
  <c r="G18" i="4"/>
  <c r="F18" i="4"/>
  <c r="E18" i="4"/>
  <c r="D18" i="4"/>
  <c r="C18" i="4"/>
  <c r="B18" i="4"/>
  <c r="G19" i="4"/>
  <c r="F19" i="4"/>
  <c r="E19" i="4"/>
  <c r="D19" i="4"/>
  <c r="C19" i="4"/>
  <c r="B19" i="4"/>
  <c r="E17" i="4"/>
  <c r="D17" i="4"/>
  <c r="C17" i="4"/>
  <c r="B17" i="4"/>
  <c r="G17" i="4"/>
  <c r="F17" i="4"/>
  <c r="C16" i="4"/>
  <c r="B16" i="4"/>
  <c r="G16" i="4"/>
  <c r="F16" i="4"/>
  <c r="E16" i="4"/>
  <c r="D16" i="4"/>
</calcChain>
</file>

<file path=xl/sharedStrings.xml><?xml version="1.0" encoding="utf-8"?>
<sst xmlns="http://schemas.openxmlformats.org/spreadsheetml/2006/main" count="734" uniqueCount="251">
  <si>
    <t>Sample Selection Rule — Corporate Governance, Financing Choices, and Visible Investment Signals in Indian FinTech Firms</t>
  </si>
  <si>
    <t>Sampling approach: Purposive (judgmental) sampling of Indian listed firms, appropriate for exploratory/panel-based governance-finance research on a still-emerging FinTech population in India.</t>
  </si>
  <si>
    <t>Inclusion criteria:</t>
  </si>
  <si>
    <t>1. Listed on NSE and/or BSE — ensures mandatory SEBI LODR disclosures (audited financials, Corporate Governance Report, Board composition) are publicly available.</t>
  </si>
  <si>
    <t>2. Primary business model falls under one of the following FinTech-linked categories:</t>
  </si>
  <si>
    <t xml:space="preserve">   (a) FinTech / Digital Payments (payments platforms, prepaid instruments, digital wallets)</t>
  </si>
  <si>
    <t xml:space="preserve">   (b) Online Insurance / Financial Intermediation (InsurTech, digital distribution)</t>
  </si>
  <si>
    <t xml:space="preserve">   (c) FinTech Infrastructure (Registrar &amp; Transfer Agents, Depositories, Exchanges, market infrastructure institutions)</t>
  </si>
  <si>
    <t xml:space="preserve">   (d) FinTech / Core Banking &amp; BFSI Software (technology providers to banks, NBFCs, capital markets)</t>
  </si>
  <si>
    <t xml:space="preserve">   (e) Digital Broking / Wealth-Tech (technology-led stockbroking, wealth management platforms)</t>
  </si>
  <si>
    <t xml:space="preserve">   (f) Technology-enabled NBFC / Digital Lending (NBFCs and microfinance institutions whose origination, underwriting or distribution is predominantly digital/tech-enabled)</t>
  </si>
  <si>
    <t>3. At least 3 consecutive financial years of standalone/consolidated financial statements and Corporate Governance Reports publicly available (via company Annual Reports, BSE/NSE corporate filings, or aggregators such as Screener.in, Moneycontrol, ACE Equity).</t>
  </si>
  <si>
    <t>4. Continuously listed and actively traded throughout the study period (no suspension, delisting, or insolvency proceedings).</t>
  </si>
  <si>
    <t>Exclusion criteria:</t>
  </si>
  <si>
    <t>1. Traditional universal/PSU/private sector banks and pure-play insurance underwriters (balance-sheet-heavy, differently regulated business models not primarily 'technology-enabled intermediation').</t>
  </si>
  <si>
    <t>2. Firms with technology/FinTech as a minor or incidental business segment rather than the primary revenue driver.</t>
  </si>
  <si>
    <t>3. Firms delisted, under moratorium, or with insufficient public disclosure during the sample period.</t>
  </si>
  <si>
    <t>4. Unlisted / privately held FinTech companies (e.g., pure private-equity/VC-backed startups) — excluded because governance and financial data are not consistently public.</t>
  </si>
  <si>
    <t>Sample period: FY2020-21 to FY2023-24 (4 years), aligned to firms' listing dates. Recently listed firms (post-FY2021) will contribute a shorter, unbalanced panel — to be noted as a limitation.</t>
  </si>
  <si>
    <t>Final sample: 25 firms (see 'Raw Data' sheet), spanning the six categories above, anchored primarily in FinTech / digital financial services, consistent with the dissertation's stated direction: Digital finance / FinTech firms → financing choices → corporate governance → visible investment signals.</t>
  </si>
  <si>
    <t>Note on data collection: Some firms reported zero debt, which was retained as reported rather than treated as missing data. Negative shareholders’ equity and other unusual financial observations were also retained because they represent the actual financial position of the respective firms and may be relevant to the analysis.
For companies that were listed after the beginning of the study period, only observations available and comparable under the study’s criteria were considered. Similarly, differences in company age, listing year, business scale, and financial structure were not used as reasons for removing observations unless they conflicted with the predefined sample-selection criteria.</t>
  </si>
  <si>
    <t>Firm</t>
  </si>
  <si>
    <t>Ticker (NSE/BSE)</t>
  </si>
  <si>
    <t>Category</t>
  </si>
  <si>
    <t>Listing Year</t>
  </si>
  <si>
    <t>Year</t>
  </si>
  <si>
    <t>Assets</t>
  </si>
  <si>
    <t>Debt</t>
  </si>
  <si>
    <t>Equity</t>
  </si>
  <si>
    <t>CAPEX</t>
  </si>
  <si>
    <t>Revenue</t>
  </si>
  <si>
    <t>Net Income</t>
  </si>
  <si>
    <t>Cash</t>
  </si>
  <si>
    <t>Board Size</t>
  </si>
  <si>
    <t>Independent Directors</t>
  </si>
  <si>
    <t>% Independent Directors</t>
  </si>
  <si>
    <t>Data Source</t>
  </si>
  <si>
    <t>Notes</t>
  </si>
  <si>
    <t>FirmYear Key (helper)</t>
  </si>
  <si>
    <t>One97 Communications Ltd (Paytm)</t>
  </si>
  <si>
    <t>NSE: PAYTM</t>
  </si>
  <si>
    <t>FinTech - Digital Payments</t>
  </si>
  <si>
    <t>FY2021</t>
  </si>
  <si>
    <t>Data extracted from your 4 annual reports</t>
  </si>
  <si>
    <t>. *FY2021 board composition isn't disclosed — Paytm was unlisted until Nov 2021.  FY figures were originally in ₹ Million I've converted to ₹ Crore for consistency</t>
  </si>
  <si>
    <t>FY2022</t>
  </si>
  <si>
    <t>FY2023</t>
  </si>
  <si>
    <t>CAPEX = Purchase of property, plant &amp; equipment (including intangibles) from the Cash Flow Statement.</t>
  </si>
  <si>
    <t>FY2024</t>
  </si>
  <si>
    <t xml:space="preserve">                  Nil </t>
  </si>
  <si>
    <t>Debt = total Borrowings line in the Balance Sheet — Paytm carries almost no formal debt (it funds itself off IPO cash reserves), just small working-capital overdrafts in a few years.</t>
  </si>
  <si>
    <t>PB Fintech Ltd (Policybazaar)</t>
  </si>
  <si>
    <t>NSE: POLICYBZR</t>
  </si>
  <si>
    <t>FinTech - Online Insurance Intermediation</t>
  </si>
  <si>
    <t>FY2021 Board Size/Independent Directors should be entered as N/A, because the FY2021-22 report does not provide a March 31, 2021 board-composition figure. I would not put 0 there.</t>
  </si>
  <si>
    <t>CAPEX is calculated as the purchase of property, plant &amp; equipment plus intangible assets, matching the approach used in the sheet's Paytm note.</t>
  </si>
  <si>
    <t>The FY2022 and FY2023 consolidated figures are reported in ₹ lakhs in the annual report; converted in crore.</t>
  </si>
  <si>
    <t>Computer Age Management Services Ltd (CAMS)</t>
  </si>
  <si>
    <t>NSE: CAMS</t>
  </si>
  <si>
    <t>FinTech Infrastructure (RTA/Depository/Exchange)</t>
  </si>
  <si>
    <t>Debt = ₹0.00 crore because CAMS' consolidated balance sheets do not report borrowings; lease liabilities are shown separately. For consistency, I have not treated lease liabilities as debt.</t>
  </si>
  <si>
    <t>CAPEX = capital expenditure on PPE + intangible assets, matching the annual report's cash-flow presentation. For FY2024, this is ₹3,837.11 lakh = ₹38.37 crore.</t>
  </si>
  <si>
    <t>FY2024 revenue = ₹1,136.52 crore and profit = ₹350.98 crore; the annual report gives ₹1,13,652 lakh revenue and ₹35,097.73 lakh profit</t>
  </si>
  <si>
    <t>Central Depository Services (India) Ltd (CDSL)</t>
  </si>
  <si>
    <t>NSE: CDSL</t>
  </si>
  <si>
    <t>The FY2024 consolidated P&amp;L reports revenue of ₹812.26 crore and net profit of ₹419.55 crore.</t>
  </si>
  <si>
    <t>Debt = 0.00 because the annual report explicitly states there was no borrowing.</t>
  </si>
  <si>
    <t>FY2024 CAPEX is ₹73.46 crore based on PPE and intangible assets acquired.</t>
  </si>
  <si>
    <t>BSE Ltd</t>
  </si>
  <si>
    <t>NSE: BSE</t>
  </si>
  <si>
    <t>BSE Annual Report 2020-21. Consolidated assets were ₹4,62,708 lakh, total equity ₹2,51,593 lakh and cash ₹41,615 lakh.</t>
  </si>
  <si>
    <t xml:space="preserve"> Board strength was 8, comprising 6 Public Interest Directors</t>
  </si>
  <si>
    <t>I have treated Debt as borrowings, not lease liabilities or other financial liabilities</t>
  </si>
  <si>
    <t xml:space="preserve">BSE Annual Report 2023-24. Total assets ₹9,45,023 lakh, total equity ₹3,45,466 lakh. </t>
  </si>
  <si>
    <t>Angel One Ltd</t>
  </si>
  <si>
    <t>NSE: ANGELONE</t>
  </si>
  <si>
    <t>Digital Broking / Wealth-Tech</t>
  </si>
  <si>
    <t>Debt: Borrowings + Debt Securities, consistent with Angel One's own definition of debt. The FY2024 report explicitly defines debt as borrowings plus debt securities.</t>
  </si>
  <si>
    <t>Cash and Cash Equivalents only, not bank balances.</t>
  </si>
  <si>
    <t>Purchase of property, plant &amp; equipment and intangible assets from the consolidated cash-flow statement.</t>
  </si>
  <si>
    <t>FY2024 retained a 9-member Board, but independent directors reduced to 5. Kamalji Sahay and Uday Sankar Roy completed their five-year terms in May 2023, while Amit Majumdar joined as a Whole-Time Director in April 2023.</t>
  </si>
  <si>
    <t>5paisa Capital Ltd</t>
  </si>
  <si>
    <t>NSE: 5PAISA</t>
  </si>
  <si>
    <t>Infibeam Avenues Ltd</t>
  </si>
  <si>
    <t>NSE: INFIBEAM</t>
  </si>
  <si>
    <t>Infibeam crossed ₹1 lakh crore of payment processing during FY21 and entered into strategic enterprise-platform/payment arrangements with Jio Platforms and JPMC Bank India.</t>
  </si>
  <si>
    <t>Infibeam launched CCAvenue TapPay, its smartphone-based SoftPOS solution, in July 2022</t>
  </si>
  <si>
    <t>Received in-principle RBI approval for a Payment Aggregator licence and a perpetual BBPOU licence. It also became the first payment gateway player in India to process CBDC transactions for online retail merchants.</t>
  </si>
  <si>
    <t>: Infibeam received final RBI authorisation for its Payment Aggregator and perpetual BBPS licences, launched THEIA, its video-AI platform, and made strategic investments in Pirimid Technologies and So Hum Bharat Digital Payments.</t>
  </si>
  <si>
    <t>Zaggle Prepaid Ocean Services Ltd</t>
  </si>
  <si>
    <t>NSE: ZAGGLE</t>
  </si>
  <si>
    <t>Outstanding unsecured loans were approximately ₹5.65 crore, including loans from banks/financial institutions and a director.</t>
  </si>
  <si>
    <t>PAT increased to ₹41.92 crore from ₹19.33 crore.</t>
  </si>
  <si>
    <t>The company launched Zoyer and expanded its customer/user base</t>
  </si>
  <si>
    <t>Zaggle's IPO resulted in its shares being listed on BSE and NSE on September 22, 2023.</t>
  </si>
  <si>
    <t>Fino Payments Bank Ltd</t>
  </si>
  <si>
    <t>NSE: FINOPB</t>
  </si>
  <si>
    <t>Revenue = Total Income (Interest earned + Other income), since a bank-format P&amp;L has no separate "Revenue from operations" line — for this payments bank, nearly all revenue is fee-based and sits in "Other income."</t>
  </si>
  <si>
    <t>Debt = "Borrowings" line from the Balance Sheet — unlike Paytm/PB Fintech, Fino Payments Bank does carry real borrowings (working capital/refinance lines), not just lease liabilities.</t>
  </si>
  <si>
    <t>CAPEX = Purchase of Fixed Assets (including capital work-in-progress) from the Cash Flow Statement — Investing Activities.</t>
  </si>
  <si>
    <t>Kfin Technologies Ltd</t>
  </si>
  <si>
    <t>NSE: KFINTECH</t>
  </si>
  <si>
    <t>Debt/borrowings were ₹293.89 Cr. Consolidated assets were ₹919.03 Cr and equity ₹343.56 Cr. Company reported a net loss of approximately ₹64.51 Cr. Cash and cash equivalents were ₹22.93 Cr. The year was also affected by COVID-19. Company was not yet equity-listed.</t>
  </si>
  <si>
    <t>Revenue increased substantially and PAT turned positive. Company acquired 100% of Hexagram Fintech for ₹25.15 Cr. KFintech converted from a private company to a public limited company effective February 24, 2022. The Board approved an IPO/Offer for Sale in March 2022. The company was not yet equity-listed as of March 31, 2022.</t>
  </si>
  <si>
    <t>KFin Technologies was listed on BSE and NSE on December 29, 2022. IPO issue size was ₹1,500 Cr and the offer was subscribed 2.99x (excluding Anchor Investor Portion). Revenue was ₹720.03 Cr and PAT ₹195.74 Cr. Borrowings reduced sharply to ₹130.07 Cr.</t>
  </si>
  <si>
    <t>Company had no outstanding borrowings as of March 31, 2024; debt shown in the company's debt-to-equity disclosure represents only lease liabilities. Revenue increased to ₹837.53 Cr and PAT to ₹246.05 Cr. Consolidated assets reached ₹1,418.69 Cr and equity ₹1,140.99 Cr. Board comprised 9 directors, including 3 independent directors.</t>
  </si>
  <si>
    <t>Intellect Design Arena Ltd</t>
  </si>
  <si>
    <t>NSE: INTELLECT</t>
  </si>
  <si>
    <t>FinTech - Core Banking / BFSI Software</t>
  </si>
  <si>
    <t>Debt was very low at ₹0.84 Cr (current borrowings), with no non-current borrowings at year-end. Cash &amp; cash equivalents stood at ₹146.18 Cr. PAT was strong at ₹350.44 Cr. The Board comprised 6 directors, including 3 independent directors (50%).</t>
  </si>
  <si>
    <t>The company became effectively debt-free in terms of reported borrowings (₹0 Cr). Revenue increased to ₹2,231.25 Cr, while PAT declined to ₹268.59 Cr from ₹350.44 Cr in FY22. The Board comprised 7 directors, including 4 independent directors (57.14%).</t>
  </si>
  <si>
    <t>Company reported a broader cash position of ₹775.6 Cr, although cash &amp; cash equivalents used in this dataset were ₹199.81 Cr.</t>
  </si>
  <si>
    <t>The company had zero reported borrowings at year-end (excluding lease obligations).</t>
  </si>
  <si>
    <t>Nucleus Software Exports Ltd</t>
  </si>
  <si>
    <t>NSE: NUCLEUS</t>
  </si>
  <si>
    <t>₹0.00 Cr means no bank/financial borrowings; I have not treated lease liabilities as debt.</t>
  </si>
  <si>
    <t>Cash &amp; Cash Equivalents figure, rather than cash + investments + other bank balances.</t>
  </si>
  <si>
    <t>Company remained debt-free. Revenue was ₹497.19 Cr and PAT ₹40.91 Cr. CAPEX was relatively high at ₹24.24 Cr. Board comprised 10 directors, including 5 independent directors (50%).</t>
  </si>
  <si>
    <t>Revenue was broadly stable at ₹832.25 Cr, while PAT declined to ₹163.0 Cr from ₹191.6 Cr. Company remained debt-free. Total assets increased to ₹1,152.95 Cr and equity to ₹814.22 Cr. CAPEX was ₹15.22 Cr. A major corporate event was the share buyback approved during FY25.</t>
  </si>
  <si>
    <t>Oracle Financial Services Software Ltd</t>
  </si>
  <si>
    <t>NSE: OFSS</t>
  </si>
  <si>
    <t>No external loans/borrowings; debt shown as ₹0 Cr excluding lease liabilities. Consolidated revenue ₹5,221.46 Cr and PAT ₹1,888.83 Cr. Board had 10 directors, including 4 independent directors.</t>
  </si>
  <si>
    <t>Company continued without external borrowings. Revenue increased to ₹5,698.31 Cr, while PAT declined to ₹1,806.14 Cr. CAPEX increased to ₹40.96 Cr.</t>
  </si>
  <si>
    <t>Strong financial year: consolidated revenue increased 12% to ₹6,372.96 Cr and PAT increased 23% to ₹2,219.36 Cr. Major Board changes included appointment of Makarand Padalkar as MD &amp; CEO and appointment of Mrugank Paranjape as Independent Director</t>
  </si>
  <si>
    <t>Revenue increased 7% to ₹6,846.80 Cr and PAT increased 7% to ₹2,379.60 Cr. Cash &amp; cash equivalents declined substantially to ₹1,214.20 Cr, while other bank balances increased. Kavita Venugopal was appointed Independent Director effective March 3, 2025; Sridhar Srinivasan completed his tenure on March 31, 2025.</t>
  </si>
  <si>
    <t>63 Moons Technologies Ltd</t>
  </si>
  <si>
    <t>NSE: 63MOONS</t>
  </si>
  <si>
    <t>Debt/borrowings: Nil. Consolidated loss of ₹63.44 Cr. Board consisted of 14 directors, including 5 independent directors.</t>
  </si>
  <si>
    <t>Debt/borrowings: Nil. Consolidated loss reduced to ₹53.17 Cr. Board size reduced to 9 directors; 4 were independent directors.</t>
  </si>
  <si>
    <t>Debt/borrowings: Nil. Revenue increased substantially to ₹290.07 Cr; consolidated loss reduced to ₹16.31 Cr</t>
  </si>
  <si>
    <t>Major turnaround: consolidated net profit ₹222.51 Cr versus loss of ₹16.31 Cr in FY2022-23. MCX changed its technology vendor after Dec 2023, affecting Exchange Technology revenue. The company also continued to face NSEL-related legal proceedings; certain matters remained pending before courts.</t>
  </si>
  <si>
    <t>Route Mobile Ltd</t>
  </si>
  <si>
    <t>NSE: ROUTE</t>
  </si>
  <si>
    <t>Revenue from operations ₹1,406.17 Cr; consolidated profit ₹132.75 Cr. Year-end borrowings were only ₹3.97 Cr. Board comprised 7 directors, including 4 independent directors.</t>
  </si>
  <si>
    <t>Strong expansion: revenue increased to ₹2,002.03 Cr and consolidated profit to ₹170.08 Cr. Year-end borrowings were Nil. Board comprised 7 directors, including 4 independent directors.</t>
  </si>
  <si>
    <t>Revenue increased substantially to ₹3,569.23 Cr and consolidated profit reached ₹333.11 Cr. Borrowings increased to ₹106.15 Cr. Board comprised 7 directors, including 4 independent directors</t>
  </si>
  <si>
    <t>Revenue increased to ₹4,023.29 Cr and consolidated profit to ₹388.84 Cr. Total borrowings increased to ₹349.64 Cr (₹135.03 Cr non-current + ₹214.61 Cr current). Board comprised 7 directors, including 4 independent director</t>
  </si>
  <si>
    <t>IIFL Securities Ltd</t>
  </si>
  <si>
    <t>NSE: IIFLSEC</t>
  </si>
  <si>
    <t>borrowings + debt securities</t>
  </si>
  <si>
    <t>Strong increase in assets and cash; total assets reached ₹6,041.05 Cr and cash &amp; cash equivalents ₹1,094.83 Cr.</t>
  </si>
  <si>
    <t>Debt increased materially; the report states finance costs increased due to higher working-capital requirements and the emerging needs of the margin-funding book.</t>
  </si>
  <si>
    <t>Motilal Oswal Financial Services Ltd</t>
  </si>
  <si>
    <t>NSE: MOFSL</t>
  </si>
  <si>
    <t>Debt Securities + Borrowings (other than debt securities)</t>
  </si>
  <si>
    <t>I used net profit attributable to owners of the parent,</t>
  </si>
  <si>
    <t>The company described FY2023-24 as its highest-ever revenue year.</t>
  </si>
  <si>
    <t>Board had 10 directors, including 5 Independent Directors, so the independent-director percentage is exactly 50%.</t>
  </si>
  <si>
    <t>Geojit Financial Services Ltd</t>
  </si>
  <si>
    <t>NSE: GEOJITFSL</t>
  </si>
  <si>
    <t>Financial Services / Stock Broking</t>
  </si>
  <si>
    <t>Debt ₹15.00 Cr; PAT increased strongly to ₹126.51 Cr. Board had 10 directors with 5 independent directors</t>
  </si>
  <si>
    <t>Debt increased to ₹48.25 Cr; PAT reached ₹154.42 Cr; Board expanded from 10 to 13 directors.</t>
  </si>
  <si>
    <t>Listing Year: 2000</t>
  </si>
  <si>
    <t>Company also reported substantial technology investments and higher compliance costs during FY24.</t>
  </si>
  <si>
    <t>Anand Rathi Wealth Ltd</t>
  </si>
  <si>
    <t>NSE: ANANDRATHI</t>
  </si>
  <si>
    <t>Revenue was adversely affected by COVID-19-related market volatility, lower fee income and trading losses.</t>
  </si>
  <si>
    <t>revenue from operations increased to ₹417.49 Cr and PAT to ₹126.80 Cr. Debt declined from ₹33.36 Cr to ₹24.95 Cr.</t>
  </si>
  <si>
    <t>Revenue increased to ₹529.97 Cr, PAT to ₹168.60 Cr, while borrowings declined further to ₹16.82 Cr. Board size reduced from 8 to 7, while independent directors remained 4.</t>
  </si>
  <si>
    <t>Strong growth continued: revenue reached ₹724.32 Cr and PAT ₹225.82 Cr. Borrowings declined sharply to ₹8.49 Cr. Board remained at 7 directors, including 4 independent directors (57.14%).</t>
  </si>
  <si>
    <t>SBI Cards and Payment Services Ltd</t>
  </si>
  <si>
    <t>NSE: SBICARD</t>
  </si>
  <si>
    <t>COVID-19 affected spending and asset quality. PAT declined to ₹984.52 Cr. Total debt was approximately ₹17,894.78 Cr.</t>
  </si>
  <si>
    <t>Strong post-pandemic recovery. Revenue from operations increased to ₹10,677.27 Cr and PAT to ₹1,616.14 Cr. Debt increased to ₹22,982.46 Cr as the lending/card receivables business expanded.</t>
  </si>
  <si>
    <t>Significant expansion: revenue reached ₹13,666.64 Cr and PAT ₹2,258.47 Cr. Debt increased substantially to ₹31,109.61 Cr alongside growth in receivables.</t>
  </si>
  <si>
    <t>Revenue from operations increased to ₹16,968.42 Cr, PAT reached ₹2,407.88 Cr, and total assets rose to ₹58,171.23 Cr. Debt increased to ₹39,891.08 Cr. Gross credit-card receivables increased 25% YoY to ₹50,846 Cr.</t>
  </si>
  <si>
    <t>Home First Finance Company India Ltd</t>
  </si>
  <si>
    <t>NSE: HOMEFIRST</t>
  </si>
  <si>
    <t>Tech-enabled NBFC / Digital Lending</t>
  </si>
  <si>
    <t>HomeFirst is a housing finance company, so I’m using Total Income as the Revenue measure. The annual report's 14-year highlights explicitly report FY21–FY24 Total Income, Debt, Equity and Total Assets on this basis.</t>
  </si>
  <si>
    <t>The company was listed on NSE and BSE in 2021, an important corporate milestone.</t>
  </si>
  <si>
    <t>AUM expanded to ₹7,198 Cr and PAT reached ₹228 Cr. Debt increased to ₹4,813 Cr. Board composition changed to 8 directors, including 4 independent directors.</t>
  </si>
  <si>
    <t>India Ratings revised its outlook from AA- Stable to AA- Positive. HomeFirst also received an IRDAI Corporate Agent (Composite) licence during the year.</t>
  </si>
  <si>
    <t>Ugro Capital Ltd</t>
  </si>
  <si>
    <t>NSE: UGROCAP</t>
  </si>
  <si>
    <t>Total income was ₹153.34 Cr and PAT ₹28.73 Cr. Debt stood at approximately ₹765.69 Cr. No significant material regulatory/court/tribunal order affecting going concern was reported.</t>
  </si>
  <si>
    <t>Debt increased substantially to ₹1,801.84 Cr as the lending business expanded. Total income more than doubled to ₹313.42 Cr, although PAT declined to ₹14.55 Cr</t>
  </si>
  <si>
    <t>Strong expansion year: assets reached ₹4,305.59 Cr, debt ₹3,148.93 Cr and total income ₹683.76 Cr. PAT recovered to ₹39.78 Cr.</t>
  </si>
  <si>
    <t>The company also announced the acquisition of MyShubhLife, and an ₹1,265 Cr equity capital raise through CCDs and warrants was highlighted around the close of FY24/early FY25.</t>
  </si>
  <si>
    <t>CreditAccess Grameen Ltd</t>
  </si>
  <si>
    <t>NSE: CREDITACC</t>
  </si>
  <si>
    <t>COVID-19 affected the microfinance operating environment. PAT was ₹131.40 Cr. Board had 8 directors, including 4 independent directors.</t>
  </si>
  <si>
    <t>Recovery year following COVID disruptions. PAT increased substantially to ₹357.10 Cr, while debt increased to ₹12,842.95 Cr.</t>
  </si>
  <si>
    <t>Total Income increased to ₹3,550.79 Cr and PAT to ₹826.06 Cr. Board consisted of 8 directors, including 4 independent directors.</t>
  </si>
  <si>
    <t>The company also raised USD 200 million through a syndicated social loan and ₹9,896 million through the second tranche of public NCDs.</t>
  </si>
  <si>
    <t>MAS Financial Services Ltd</t>
  </si>
  <si>
    <t>NSE: MASFIN</t>
  </si>
  <si>
    <t>Consolidated total income was ₹627.71 Cr, PAT ₹145.52 Cr, and debt approximately ₹3,512.75 Cr.</t>
  </si>
  <si>
    <t>MAS also received the ASSOCHAM Best MSME Lending of the Year recognition in 2022.</t>
  </si>
  <si>
    <t>Consolidated PAT crossed ₹200 Cr, while consolidated AUM crossed ₹10,000 Cr.</t>
  </si>
  <si>
    <t>. The company’s long-term bank facilities/NCD rating was also upgraded during 2024</t>
  </si>
  <si>
    <t>LEGEND / INSTRUCTIONS</t>
  </si>
  <si>
    <t xml:space="preserve">• Yellow row = illustrative example only. </t>
  </si>
  <si>
    <t>• All financial figures (Assets, Debt, Equity, CAPEX, Revenue, Net Income, Cash) to be entered in ₹ Crore.</t>
  </si>
  <si>
    <t>• Assets = Total Assets (consolidated, as reported in Balance Sheet).</t>
  </si>
  <si>
    <t>• Debt = Total Borrowings (Short-term + Long-term debt, from Balance Sheet / Notes) not lease.</t>
  </si>
  <si>
    <t>• Equity = Total Shareholders' Equity (Net worth).</t>
  </si>
  <si>
    <t>• CAPEX = Purchase of Property, Plant &amp; Equipment + Intangible Assets (from Cash Flow Statement - Investing Activities).</t>
  </si>
  <si>
    <t>• Board Size = Total number of directors on Board as of year-end (from Corporate Governance Report / Annual Report).</t>
  </si>
  <si>
    <t>• Independent Directors = Number of Independent Directors as of year-end (same source).</t>
  </si>
  <si>
    <t>• % Independent Directors auto-calculates (Independent Directors / Board Size).</t>
  </si>
  <si>
    <t>• Data Source: cite exact source, e.g. Annual Report FY2023-24 or Screener.in / BSE filing  :- https://www.nseindia.com/</t>
  </si>
  <si>
    <t>• Firms with listing year after FY2021 will have fewer than 4 years of data available.</t>
  </si>
  <si>
    <t>Calculated Variables — Research Panel Dataset (Indian FinTech Firms)</t>
  </si>
  <si>
    <t>Derived from 'Raw Data' sheet. All cells are live formulas; edit the source data and this sheet recalculates.</t>
  </si>
  <si>
    <t>FirmYear</t>
  </si>
  <si>
    <t>Investment</t>
  </si>
  <si>
    <t>Leverage</t>
  </si>
  <si>
    <t>ROA</t>
  </si>
  <si>
    <t>Firm Size</t>
  </si>
  <si>
    <t>Board Independence</t>
  </si>
  <si>
    <t>Variable Definitions &amp; Formulas</t>
  </si>
  <si>
    <t>Variable</t>
  </si>
  <si>
    <t>Formula</t>
  </si>
  <si>
    <t>Raw Data Column(s) Used</t>
  </si>
  <si>
    <t>Firm name &amp; fiscal year, e.g. "ABC Fintech_2022"</t>
  </si>
  <si>
    <t>Raw Data!A (Firm) + Raw Data!E (Year)</t>
  </si>
  <si>
    <t>Unique panel identifier (Firm x Year).</t>
  </si>
  <si>
    <t>Capital Expenditure / Total Assets</t>
  </si>
  <si>
    <t>Raw Data!I (CAPEX) / Raw Data!F (Assets)</t>
  </si>
  <si>
    <t>No separate "Capital Expenditure" column exists in Raw Data; the CAPEX column is used as the investment variable.</t>
  </si>
  <si>
    <t>Total Debt / Total Assets</t>
  </si>
  <si>
    <t>Raw Data!G (Debt) / Raw Data!F (Assets)</t>
  </si>
  <si>
    <t>Where Debt = "Nil" in Raw Data, it is treated as 0 (zero formal debt), not missing.</t>
  </si>
  <si>
    <t>Net Income / Total Assets</t>
  </si>
  <si>
    <t>Raw Data!K (Net Income) / Raw Data!F (Assets)</t>
  </si>
  <si>
    <t>Expressed as a decimal (e.g. 0.0523 = 5.23%), consistent across all rows.</t>
  </si>
  <si>
    <t>LN(Total Assets)</t>
  </si>
  <si>
    <t>Raw Data!F (Assets)</t>
  </si>
  <si>
    <t>Natural log of Total Assets, per Excel's LN() function — not the raw Assets value.</t>
  </si>
  <si>
    <t>Independent Directors / Total Directors</t>
  </si>
  <si>
    <t>Raw Data!N (Independent Directors) / Raw Data!M (Board Size)</t>
  </si>
  <si>
    <t>Expressed as a decimal. Returns "NA" for 3 firm-years where board composition was undisclosed pre-listing (Paytm FY2021, Policybazaar FY2021, Fino Payments Bank FY2021).</t>
  </si>
  <si>
    <t>General notes: Data is deplayed in Percentage (%) IFERROR() wraps every calculation so a missing raw value or a division by zero returns "NA" instead of an error or a false zero. Formulas key off a FirmYear lookup column added to Raw Data (column R) so this sheet always reflects the current Raw Data contents.</t>
  </si>
  <si>
    <t>Sheet 3 — Descriptive Statistics</t>
  </si>
  <si>
    <t>Corporate Governance, Financing Choices and Visible Investment Signals in Indian FinTech Firms: Evidence from Public Data</t>
  </si>
  <si>
    <t>Overall Descriptive Statistics — FY 2020-21 to FY 2023-24 (all firm-year observations)</t>
  </si>
  <si>
    <t>N</t>
  </si>
  <si>
    <t>Mean</t>
  </si>
  <si>
    <t>Median</t>
  </si>
  <si>
    <t>Minimum</t>
  </si>
  <si>
    <t>Maximum</t>
  </si>
  <si>
    <t>Standard Deviation</t>
  </si>
  <si>
    <t>Baseline-Year Descriptive Statistics — 2020-21 (FY2021)</t>
  </si>
  <si>
    <t>Notes: Descriptive statistics are calculated from firm-year observations in Sheet 2 (Calculated Variables). The overall statistics cover the 2020-21 to 2023-24 period. Financial year 2020-21 is treated as the baseline year for comparison. Investment, Leverage, ROA, and Board Independence are reported as percentages. Firm Size is measured as the natural logarithm of Total Assets. Standard deviation is calculated using the sample standard deviation (STDEV.S).</t>
  </si>
  <si>
    <t>Baseline-Year (2020-21 / FY2021) Firm-Year Data — feeds the baseline table above</t>
  </si>
  <si>
    <t>Sheet 4 — Correlation Matrix</t>
  </si>
  <si>
    <t>Pairwise Pearson Correlation Matrix — Calculated Variables (Sheet 2)</t>
  </si>
  <si>
    <t>Notes:</t>
  </si>
  <si>
    <t>Correlation coefficients are calculated using the firm-year observations in Sheet 2 (Calculated Variables). The matrix reports pairwise Pearson correlation coefficients among Investment, Leverage, ROA, Firm Size, and Board Independence. Correlation indicates the direction and strength of linear association and does not by itself establish causality.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</si>
</sst>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00%\)"/>
    <numFmt numFmtId="167" formatCode="0.0000;\(0.0000\)"/>
    <numFmt numFmtId="168" formatCode="0.000;\(0.000\)"/>
  </numFmts>
  <fonts count="22">
    <font>
      <sz val="11"/>
      <color theme="1"/>
      <name val="Calibri"/>
      <family val="2"/>
      <charset val="1"/>
    </font>
    <font>
      <b/>
      <sz val="12"/>
      <name val="Arial"/>
      <charset val="1"/>
    </font>
    <font>
      <sz val="10"/>
      <name val="Arial"/>
      <charset val="1"/>
    </font>
    <font>
      <b/>
      <sz val="10"/>
      <name val="Arial"/>
      <charset val="1"/>
    </font>
    <font>
      <b/>
      <sz val="10"/>
      <color rgb="FFFFFFFF"/>
      <name val="Arial"/>
      <charset val="1"/>
    </font>
    <font>
      <b/>
      <sz val="11"/>
      <color theme="1"/>
      <name val="Calibri"/>
      <family val="2"/>
      <charset val="1"/>
    </font>
    <font>
      <sz val="10"/>
      <color theme="1"/>
      <name val="Arial Unicode MS"/>
      <charset val="1"/>
    </font>
    <font>
      <sz val="10"/>
      <name val="Arial"/>
      <family val="2"/>
      <charset val="1"/>
    </font>
    <font>
      <i/>
      <sz val="10"/>
      <name val="Arial"/>
      <charset val="1"/>
    </font>
    <font>
      <b/>
      <sz val="11"/>
      <name val="Arial"/>
      <charset val="1"/>
    </font>
    <font>
      <sz val="9"/>
      <name val="Arial"/>
      <charset val="1"/>
    </font>
    <font>
      <sz val="9"/>
      <name val="Arial"/>
      <family val="2"/>
      <charset val="1"/>
    </font>
    <font>
      <b/>
      <sz val="12"/>
      <color rgb="FF1F4E78"/>
      <name val="Arial"/>
      <charset val="1"/>
    </font>
    <font>
      <i/>
      <sz val="10"/>
      <color rgb="FF555555"/>
      <name val="Arial"/>
      <charset val="1"/>
    </font>
    <font>
      <i/>
      <sz val="10"/>
      <color rgb="FF595959"/>
      <name val="Arial"/>
      <charset val="1"/>
    </font>
    <font>
      <b/>
      <sz val="11"/>
      <color rgb="FF1F4E78"/>
      <name val="Arial"/>
      <charset val="1"/>
    </font>
    <font>
      <i/>
      <sz val="9"/>
      <name val="Arial"/>
      <charset val="1"/>
    </font>
    <font>
      <sz val="10"/>
      <color rgb="FF000000"/>
      <name val="Arial"/>
      <charset val="1"/>
    </font>
    <font>
      <sz val="10"/>
      <color rgb="FF595959"/>
      <name val="Arial"/>
      <charset val="1"/>
    </font>
    <font>
      <sz val="10"/>
      <color rgb="FF9C0006"/>
      <name val="Arial"/>
      <charset val="1"/>
    </font>
    <font>
      <b/>
      <sz val="9"/>
      <color rgb="FF595959"/>
      <name val="Arial"/>
      <charset val="1"/>
    </font>
    <font>
      <i/>
      <sz val="9"/>
      <color rgb="FF595959"/>
      <name val="Arial"/>
      <charset val="1"/>
    </font>
  </fonts>
  <fills count="11">
    <fill>
      <patternFill patternType="none"/>
    </fill>
    <fill>
      <patternFill patternType="gray125"/>
    </fill>
    <fill>
      <patternFill patternType="solid">
        <fgColor rgb="FF1F4E78"/>
        <bgColor rgb="FF003366"/>
      </patternFill>
    </fill>
    <fill>
      <patternFill patternType="solid">
        <fgColor rgb="FFDDEBF7"/>
        <bgColor rgb="FFEDEDED"/>
      </patternFill>
    </fill>
    <fill>
      <patternFill patternType="solid">
        <fgColor rgb="FFFCE4D6"/>
        <bgColor rgb="FFF2DCDB"/>
      </patternFill>
    </fill>
    <fill>
      <patternFill patternType="solid">
        <fgColor rgb="FFE2EFDA"/>
        <bgColor rgb="FFEDEDED"/>
      </patternFill>
    </fill>
    <fill>
      <patternFill patternType="solid">
        <fgColor rgb="FFEDEDED"/>
        <bgColor rgb="FFE2EFDA"/>
      </patternFill>
    </fill>
    <fill>
      <patternFill patternType="solid">
        <fgColor rgb="FFFFF2CC"/>
        <bgColor rgb="FFFCE4D6"/>
      </patternFill>
    </fill>
    <fill>
      <patternFill patternType="solid">
        <fgColor rgb="FFF2DCDB"/>
        <bgColor rgb="FFFCE4D6"/>
      </patternFill>
    </fill>
    <fill>
      <patternFill patternType="solid">
        <fgColor rgb="FFFFFF00"/>
        <bgColor rgb="FFFFFF00"/>
      </patternFill>
    </fill>
    <fill>
      <patternFill patternType="solid">
        <fgColor rgb="FFFFC7CE"/>
        <bgColor rgb="FFF2DCDB"/>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5">
    <xf numFmtId="0" fontId="0" fillId="0" borderId="0" xfId="0"/>
    <xf numFmtId="0" fontId="4" fillId="2" borderId="1" xfId="0" applyFont="1" applyFill="1" applyBorder="1" applyAlignment="1">
      <alignment horizontal="center" vertical="center" wrapText="1"/>
    </xf>
    <xf numFmtId="0" fontId="12" fillId="0" borderId="0" xfId="0" applyFont="1"/>
    <xf numFmtId="0" fontId="15" fillId="0" borderId="0" xfId="0" applyFont="1"/>
    <xf numFmtId="0" fontId="1" fillId="0" borderId="0" xfId="0" applyFont="1" applyAlignment="1">
      <alignment horizontal="left" vertical="top" wrapText="1"/>
    </xf>
    <xf numFmtId="0" fontId="2" fillId="0" borderId="0" xfId="0" applyFont="1" applyAlignment="1">
      <alignmen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2" borderId="0" xfId="0" applyFont="1" applyFill="1"/>
    <xf numFmtId="0" fontId="2" fillId="0" borderId="1" xfId="0" applyFont="1" applyBorder="1"/>
    <xf numFmtId="0" fontId="2" fillId="3" borderId="1" xfId="0" applyFont="1" applyFill="1" applyBorder="1"/>
    <xf numFmtId="1" fontId="2" fillId="0" borderId="1" xfId="0" applyNumberFormat="1" applyFont="1" applyBorder="1"/>
    <xf numFmtId="4" fontId="0" fillId="0" borderId="0" xfId="0" applyNumberFormat="1"/>
    <xf numFmtId="164" fontId="2" fillId="0" borderId="1" xfId="0" applyNumberFormat="1" applyFont="1" applyBorder="1"/>
    <xf numFmtId="0" fontId="2" fillId="0" borderId="0" xfId="0" applyFont="1"/>
    <xf numFmtId="165" fontId="2" fillId="0" borderId="1" xfId="0" applyNumberFormat="1" applyFont="1" applyBorder="1"/>
    <xf numFmtId="0" fontId="2" fillId="4" borderId="1" xfId="0" applyFont="1" applyFill="1" applyBorder="1"/>
    <xf numFmtId="0" fontId="2" fillId="0" borderId="1" xfId="0" applyFont="1" applyBorder="1" applyAlignment="1">
      <alignment horizontal="left"/>
    </xf>
    <xf numFmtId="0" fontId="2" fillId="5" borderId="1" xfId="0" applyFont="1" applyFill="1" applyBorder="1"/>
    <xf numFmtId="0" fontId="5" fillId="0" borderId="0" xfId="0" applyFont="1"/>
    <xf numFmtId="0" fontId="2" fillId="6" borderId="1" xfId="0" applyFont="1" applyFill="1" applyBorder="1"/>
    <xf numFmtId="0" fontId="2" fillId="7" borderId="1" xfId="0" applyFont="1" applyFill="1" applyBorder="1"/>
    <xf numFmtId="0" fontId="6" fillId="0" borderId="0" xfId="0" applyFont="1"/>
    <xf numFmtId="0" fontId="0" fillId="0" borderId="0" xfId="0" applyAlignment="1">
      <alignment vertical="center" wrapText="1"/>
    </xf>
    <xf numFmtId="0" fontId="7" fillId="6" borderId="1" xfId="0" applyFont="1" applyFill="1" applyBorder="1"/>
    <xf numFmtId="0" fontId="2" fillId="8" borderId="1" xfId="0" applyFont="1" applyFill="1" applyBorder="1"/>
    <xf numFmtId="3" fontId="0" fillId="0" borderId="0" xfId="0" applyNumberFormat="1"/>
    <xf numFmtId="1" fontId="0" fillId="0" borderId="0" xfId="0" applyNumberFormat="1"/>
    <xf numFmtId="165" fontId="0" fillId="0" borderId="0" xfId="0" applyNumberFormat="1"/>
    <xf numFmtId="164" fontId="0" fillId="0" borderId="0" xfId="0" applyNumberFormat="1"/>
    <xf numFmtId="0" fontId="8" fillId="9" borderId="1" xfId="0" applyFont="1" applyFill="1" applyBorder="1"/>
    <xf numFmtId="1" fontId="8" fillId="9" borderId="1" xfId="0" applyNumberFormat="1" applyFont="1" applyFill="1" applyBorder="1"/>
    <xf numFmtId="165" fontId="8" fillId="9" borderId="1" xfId="0" applyNumberFormat="1" applyFont="1" applyFill="1" applyBorder="1"/>
    <xf numFmtId="164" fontId="8" fillId="9" borderId="1" xfId="0" applyNumberFormat="1" applyFont="1" applyFill="1" applyBorder="1"/>
    <xf numFmtId="0" fontId="9" fillId="0" borderId="0" xfId="0" applyFont="1"/>
    <xf numFmtId="166" fontId="2" fillId="0" borderId="1" xfId="0" applyNumberFormat="1" applyFont="1" applyBorder="1" applyAlignment="1">
      <alignment horizontal="center"/>
    </xf>
    <xf numFmtId="167" fontId="2" fillId="0" borderId="1" xfId="0" applyNumberFormat="1" applyFont="1" applyBorder="1" applyAlignment="1">
      <alignment horizontal="center"/>
    </xf>
    <xf numFmtId="0" fontId="2" fillId="0" borderId="1" xfId="0" applyFont="1" applyBorder="1" applyAlignment="1">
      <alignment horizontal="left" vertical="top" wrapText="1"/>
    </xf>
    <xf numFmtId="0" fontId="4" fillId="2" borderId="3" xfId="0" applyFont="1" applyFill="1" applyBorder="1" applyAlignment="1">
      <alignment horizontal="center" vertical="center" wrapText="1"/>
    </xf>
    <xf numFmtId="0" fontId="3" fillId="0" borderId="3" xfId="0" applyFont="1" applyBorder="1"/>
    <xf numFmtId="1" fontId="2" fillId="0" borderId="3" xfId="0" applyNumberFormat="1" applyFont="1" applyBorder="1" applyAlignment="1">
      <alignment horizontal="right"/>
    </xf>
    <xf numFmtId="166" fontId="2" fillId="0" borderId="3" xfId="0" applyNumberFormat="1" applyFont="1" applyBorder="1" applyAlignment="1">
      <alignment horizontal="right"/>
    </xf>
    <xf numFmtId="167" fontId="2" fillId="0" borderId="3" xfId="0" applyNumberFormat="1" applyFont="1" applyBorder="1" applyAlignment="1">
      <alignment horizontal="right"/>
    </xf>
    <xf numFmtId="0" fontId="17" fillId="0" borderId="3" xfId="0" applyFont="1" applyBorder="1" applyAlignment="1">
      <alignment horizontal="left" vertical="center"/>
    </xf>
    <xf numFmtId="166" fontId="17" fillId="0" borderId="3" xfId="0" applyNumberFormat="1" applyFont="1" applyBorder="1" applyAlignment="1">
      <alignment horizontal="right"/>
    </xf>
    <xf numFmtId="167" fontId="17" fillId="0" borderId="3" xfId="0" applyNumberFormat="1" applyFont="1" applyBorder="1" applyAlignment="1">
      <alignment horizontal="right"/>
    </xf>
    <xf numFmtId="0" fontId="18" fillId="0" borderId="0" xfId="0" applyFont="1"/>
    <xf numFmtId="0" fontId="4" fillId="2" borderId="3" xfId="0" applyFont="1" applyFill="1" applyBorder="1"/>
    <xf numFmtId="0" fontId="4" fillId="2" borderId="3" xfId="0" applyFont="1" applyFill="1" applyBorder="1" applyAlignment="1">
      <alignment horizontal="center" vertical="center"/>
    </xf>
    <xf numFmtId="0" fontId="4" fillId="2" borderId="3" xfId="0" applyFont="1" applyFill="1" applyBorder="1" applyAlignment="1">
      <alignment horizontal="left" vertical="center"/>
    </xf>
    <xf numFmtId="168" fontId="2" fillId="0" borderId="3" xfId="0" applyNumberFormat="1" applyFont="1" applyBorder="1" applyAlignment="1">
      <alignment horizontal="right"/>
    </xf>
    <xf numFmtId="168" fontId="19" fillId="10" borderId="3" xfId="0" applyNumberFormat="1" applyFont="1" applyFill="1" applyBorder="1" applyAlignment="1">
      <alignment horizontal="right"/>
    </xf>
    <xf numFmtId="0" fontId="20" fillId="0" borderId="0" xfId="0" applyFont="1"/>
    <xf numFmtId="0" fontId="2" fillId="0" borderId="2" xfId="0" applyFont="1" applyBorder="1" applyAlignment="1">
      <alignment horizontal="left" vertical="top" wrapText="1"/>
    </xf>
    <xf numFmtId="0" fontId="13" fillId="0" borderId="0" xfId="0" applyFont="1"/>
    <xf numFmtId="0" fontId="12" fillId="0" borderId="0" xfId="0" applyFont="1"/>
    <xf numFmtId="0" fontId="4" fillId="2" borderId="1" xfId="0" applyFont="1" applyFill="1" applyBorder="1" applyAlignment="1">
      <alignment horizontal="center" vertical="center" wrapText="1"/>
    </xf>
    <xf numFmtId="0" fontId="11" fillId="0" borderId="0" xfId="0" applyFont="1"/>
    <xf numFmtId="0" fontId="10" fillId="0" borderId="0" xfId="0" applyFont="1"/>
    <xf numFmtId="0" fontId="2" fillId="0" borderId="1" xfId="0" applyFont="1" applyBorder="1" applyAlignment="1">
      <alignment horizontal="center"/>
    </xf>
    <xf numFmtId="0" fontId="15" fillId="0" borderId="0" xfId="0" applyFont="1"/>
    <xf numFmtId="0" fontId="12" fillId="0" borderId="0" xfId="0" applyFont="1" applyAlignment="1">
      <alignment horizontal="left" vertical="center"/>
    </xf>
    <xf numFmtId="0" fontId="14" fillId="0" borderId="0" xfId="0" applyFont="1" applyAlignment="1">
      <alignment horizontal="left" vertical="center"/>
    </xf>
    <xf numFmtId="0" fontId="16" fillId="0" borderId="0" xfId="0" applyFont="1" applyAlignment="1">
      <alignment horizontal="left" vertical="top" wrapText="1"/>
    </xf>
    <xf numFmtId="0" fontId="21" fillId="0" borderId="0" xfId="0" applyFont="1" applyAlignment="1">
      <alignment horizontal="left" vertical="top" wrapText="1"/>
    </xf>
  </cellXfs>
  <cellStyles count="1">
    <cellStyle name="Normal" xfId="0" builtinId="0"/>
  </cellStyles>
  <dxfs count="3">
    <dxf>
      <font>
        <sz val="10"/>
        <color rgb="FF9C0006"/>
        <name val="Arial"/>
        <charset val="1"/>
      </font>
      <fill>
        <patternFill>
          <bgColor rgb="FFFFC7CE"/>
        </patternFill>
      </fill>
    </dxf>
    <dxf>
      <font>
        <sz val="10"/>
        <color rgb="FF9C0006"/>
        <name val="Arial"/>
        <charset val="1"/>
      </font>
      <fill>
        <patternFill>
          <bgColor rgb="FFFFC7CE"/>
        </patternFill>
      </fill>
    </dxf>
    <dxf>
      <font>
        <sz val="10"/>
        <color rgb="FFFF0000"/>
        <name val="Arial"/>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F2DCDB"/>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99CC"/>
      <rgbColor rgb="FFCC99FF"/>
      <rgbColor rgb="FFFFC7CE"/>
      <rgbColor rgb="FF3366FF"/>
      <rgbColor rgb="FF33CCCC"/>
      <rgbColor rgb="FF99CC00"/>
      <rgbColor rgb="FFFFCC00"/>
      <rgbColor rgb="FFFF9900"/>
      <rgbColor rgb="FFFF6600"/>
      <rgbColor rgb="FF595959"/>
      <rgbColor rgb="FFB0B0B0"/>
      <rgbColor rgb="FF003366"/>
      <rgbColor rgb="FF339966"/>
      <rgbColor rgb="FF003300"/>
      <rgbColor rgb="FF333300"/>
      <rgbColor rgb="FF993300"/>
      <rgbColor rgb="FF993366"/>
      <rgbColor rgb="FF1F4E78"/>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topLeftCell="A14" zoomScaleNormal="100" workbookViewId="0">
      <selection activeCell="A6" sqref="A6"/>
    </sheetView>
  </sheetViews>
  <sheetFormatPr defaultColWidth="8.6640625" defaultRowHeight="14.4"/>
  <cols>
    <col min="1" max="1" width="100" customWidth="1"/>
  </cols>
  <sheetData>
    <row r="1" spans="1:1" ht="15" customHeight="1">
      <c r="A1" s="4" t="s">
        <v>0</v>
      </c>
    </row>
    <row r="2" spans="1:1" ht="15" customHeight="1">
      <c r="A2" s="5"/>
    </row>
    <row r="3" spans="1:1" ht="23.25" customHeight="1">
      <c r="A3" s="6" t="s">
        <v>1</v>
      </c>
    </row>
    <row r="4" spans="1:1" ht="15" customHeight="1">
      <c r="A4" s="5"/>
    </row>
    <row r="5" spans="1:1" ht="15" customHeight="1">
      <c r="A5" s="6" t="s">
        <v>2</v>
      </c>
    </row>
    <row r="6" spans="1:1" ht="23.25" customHeight="1">
      <c r="A6" s="7" t="s">
        <v>3</v>
      </c>
    </row>
    <row r="7" spans="1:1" ht="15" customHeight="1">
      <c r="A7" s="7" t="s">
        <v>4</v>
      </c>
    </row>
    <row r="8" spans="1:1" ht="15" customHeight="1">
      <c r="A8" s="7" t="s">
        <v>5</v>
      </c>
    </row>
    <row r="9" spans="1:1" ht="15" customHeight="1">
      <c r="A9" s="7" t="s">
        <v>6</v>
      </c>
    </row>
    <row r="10" spans="1:1" ht="15" customHeight="1">
      <c r="A10" s="7" t="s">
        <v>7</v>
      </c>
    </row>
    <row r="11" spans="1:1" ht="15" customHeight="1">
      <c r="A11" s="7" t="s">
        <v>8</v>
      </c>
    </row>
    <row r="12" spans="1:1" ht="15" customHeight="1">
      <c r="A12" s="7" t="s">
        <v>9</v>
      </c>
    </row>
    <row r="13" spans="1:1" ht="23.25" customHeight="1">
      <c r="A13" s="7" t="s">
        <v>10</v>
      </c>
    </row>
    <row r="14" spans="1:1" ht="34.5" customHeight="1">
      <c r="A14" s="7" t="s">
        <v>11</v>
      </c>
    </row>
    <row r="15" spans="1:1" ht="15" customHeight="1">
      <c r="A15" s="7" t="s">
        <v>12</v>
      </c>
    </row>
    <row r="16" spans="1:1" ht="15" customHeight="1">
      <c r="A16" s="5"/>
    </row>
    <row r="17" spans="1:1" ht="15" customHeight="1">
      <c r="A17" s="6" t="s">
        <v>13</v>
      </c>
    </row>
    <row r="18" spans="1:1" ht="23.25" customHeight="1">
      <c r="A18" s="7" t="s">
        <v>14</v>
      </c>
    </row>
    <row r="19" spans="1:1" ht="15" customHeight="1">
      <c r="A19" s="7" t="s">
        <v>15</v>
      </c>
    </row>
    <row r="20" spans="1:1" ht="15" customHeight="1">
      <c r="A20" s="7" t="s">
        <v>16</v>
      </c>
    </row>
    <row r="21" spans="1:1" ht="23.25" customHeight="1">
      <c r="A21" s="7" t="s">
        <v>17</v>
      </c>
    </row>
    <row r="22" spans="1:1" ht="15" customHeight="1">
      <c r="A22" s="5"/>
    </row>
    <row r="23" spans="1:1" ht="23.25" customHeight="1">
      <c r="A23" s="6" t="s">
        <v>18</v>
      </c>
    </row>
    <row r="24" spans="1:1" ht="15" customHeight="1">
      <c r="A24" s="5"/>
    </row>
    <row r="25" spans="1:1" ht="34.5" customHeight="1">
      <c r="A25" s="6" t="s">
        <v>19</v>
      </c>
    </row>
    <row r="26" spans="1:1" ht="15" customHeight="1">
      <c r="A26" s="5"/>
    </row>
    <row r="27" spans="1:1" ht="57" customHeight="1">
      <c r="A27" s="6"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7"/>
  <sheetViews>
    <sheetView tabSelected="1" zoomScaleNormal="100" workbookViewId="0">
      <pane ySplit="1" topLeftCell="A22" activePane="bottomLeft" state="frozen"/>
      <selection activeCell="B1" sqref="B1"/>
      <selection pane="bottomLeft" activeCell="N6" sqref="N6"/>
    </sheetView>
  </sheetViews>
  <sheetFormatPr defaultColWidth="8.6640625" defaultRowHeight="14.4"/>
  <cols>
    <col min="1" max="1" width="34" customWidth="1"/>
    <col min="2" max="2" width="16" customWidth="1"/>
    <col min="3" max="3" width="34" customWidth="1"/>
    <col min="4" max="4" width="10" customWidth="1"/>
    <col min="5" max="5" width="8" customWidth="1"/>
    <col min="6" max="8" width="12" customWidth="1"/>
    <col min="9" max="9" width="10" customWidth="1"/>
    <col min="10" max="12" width="12" customWidth="1"/>
    <col min="13" max="13" width="10" customWidth="1"/>
    <col min="14" max="15" width="12" customWidth="1"/>
    <col min="16" max="16" width="42" customWidth="1"/>
    <col min="17" max="17" width="45.88671875" customWidth="1"/>
    <col min="18" max="18" width="32" customWidth="1"/>
  </cols>
  <sheetData>
    <row r="1" spans="1:18" ht="30" customHeight="1">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8" t="s">
        <v>38</v>
      </c>
    </row>
    <row r="2" spans="1:18" ht="15" customHeight="1">
      <c r="A2" s="9" t="s">
        <v>39</v>
      </c>
      <c r="B2" s="9" t="s">
        <v>40</v>
      </c>
      <c r="C2" s="10" t="s">
        <v>41</v>
      </c>
      <c r="D2" s="11">
        <v>2021</v>
      </c>
      <c r="E2" s="9" t="s">
        <v>42</v>
      </c>
      <c r="F2" s="12">
        <v>9151.2999999999993</v>
      </c>
      <c r="G2">
        <v>544.9</v>
      </c>
      <c r="H2" s="12">
        <v>6516.2</v>
      </c>
      <c r="I2">
        <v>192.7</v>
      </c>
      <c r="J2" s="12">
        <v>2802.4</v>
      </c>
      <c r="K2" s="12">
        <v>-1701</v>
      </c>
      <c r="L2">
        <v>546.79999999999995</v>
      </c>
      <c r="M2" s="11"/>
      <c r="N2" s="11"/>
      <c r="O2" s="13">
        <v>0</v>
      </c>
      <c r="P2" s="9" t="s">
        <v>43</v>
      </c>
      <c r="Q2" s="59" t="s">
        <v>44</v>
      </c>
      <c r="R2" s="14" t="str">
        <f t="shared" ref="R2:R33" si="0">A2&amp;"_"&amp;MID(E2,3,4)</f>
        <v>One97 Communications Ltd (Paytm)_2021</v>
      </c>
    </row>
    <row r="3" spans="1:18" ht="15" customHeight="1">
      <c r="A3" s="9" t="s">
        <v>39</v>
      </c>
      <c r="B3" s="9" t="s">
        <v>40</v>
      </c>
      <c r="C3" s="10" t="s">
        <v>41</v>
      </c>
      <c r="D3" s="11">
        <v>2021</v>
      </c>
      <c r="E3" s="9" t="s">
        <v>45</v>
      </c>
      <c r="F3" s="12">
        <v>17991.599999999999</v>
      </c>
      <c r="G3">
        <v>0.1</v>
      </c>
      <c r="H3" s="12">
        <v>14129.5</v>
      </c>
      <c r="I3">
        <v>507.1</v>
      </c>
      <c r="J3" s="12">
        <v>4974.2</v>
      </c>
      <c r="K3" s="12">
        <v>-2396.4</v>
      </c>
      <c r="L3" s="12">
        <v>1379</v>
      </c>
      <c r="M3" s="11">
        <v>8</v>
      </c>
      <c r="N3" s="11">
        <v>4</v>
      </c>
      <c r="O3" s="13">
        <f t="shared" ref="O3:O34" si="1">IFERROR(N3/M3,"")</f>
        <v>0.5</v>
      </c>
      <c r="P3" s="9" t="s">
        <v>43</v>
      </c>
      <c r="Q3" s="59"/>
      <c r="R3" s="14" t="str">
        <f t="shared" si="0"/>
        <v>One97 Communications Ltd (Paytm)_2022</v>
      </c>
    </row>
    <row r="4" spans="1:18" ht="15" customHeight="1">
      <c r="A4" s="9" t="s">
        <v>39</v>
      </c>
      <c r="B4" s="9" t="s">
        <v>40</v>
      </c>
      <c r="C4" s="10" t="s">
        <v>41</v>
      </c>
      <c r="D4" s="11">
        <v>2021</v>
      </c>
      <c r="E4" s="9" t="s">
        <v>46</v>
      </c>
      <c r="F4" s="12">
        <v>17965.8</v>
      </c>
      <c r="G4">
        <v>2</v>
      </c>
      <c r="H4" s="12">
        <v>12992.9</v>
      </c>
      <c r="I4">
        <v>705.2</v>
      </c>
      <c r="J4" s="12">
        <v>7990.3</v>
      </c>
      <c r="K4" s="15">
        <v>-1776.5</v>
      </c>
      <c r="L4" s="12">
        <v>3312</v>
      </c>
      <c r="M4" s="11">
        <v>7</v>
      </c>
      <c r="N4" s="11">
        <v>4</v>
      </c>
      <c r="O4" s="13">
        <f t="shared" si="1"/>
        <v>0.5714285714285714</v>
      </c>
      <c r="P4" s="9" t="s">
        <v>43</v>
      </c>
      <c r="Q4" s="9" t="s">
        <v>47</v>
      </c>
      <c r="R4" s="14" t="str">
        <f t="shared" si="0"/>
        <v>One97 Communications Ltd (Paytm)_2023</v>
      </c>
    </row>
    <row r="5" spans="1:18" ht="15" customHeight="1">
      <c r="A5" s="9" t="s">
        <v>39</v>
      </c>
      <c r="B5" s="9" t="s">
        <v>40</v>
      </c>
      <c r="C5" s="10" t="s">
        <v>41</v>
      </c>
      <c r="D5" s="11">
        <v>2021</v>
      </c>
      <c r="E5" s="9" t="s">
        <v>48</v>
      </c>
      <c r="F5" s="12">
        <v>17139.099999999999</v>
      </c>
      <c r="G5" t="s">
        <v>49</v>
      </c>
      <c r="H5" s="12">
        <v>13298.4</v>
      </c>
      <c r="I5" s="15">
        <v>821.7</v>
      </c>
      <c r="J5" s="12">
        <v>9977.7999999999993</v>
      </c>
      <c r="K5" s="15">
        <v>-1422.4</v>
      </c>
      <c r="L5" s="12">
        <v>4277.2</v>
      </c>
      <c r="M5" s="11">
        <v>7</v>
      </c>
      <c r="N5" s="11">
        <v>4</v>
      </c>
      <c r="O5" s="13">
        <f t="shared" si="1"/>
        <v>0.5714285714285714</v>
      </c>
      <c r="P5" s="9" t="s">
        <v>43</v>
      </c>
      <c r="Q5" t="s">
        <v>50</v>
      </c>
      <c r="R5" s="14" t="str">
        <f t="shared" si="0"/>
        <v>One97 Communications Ltd (Paytm)_2024</v>
      </c>
    </row>
    <row r="6" spans="1:18" ht="15" customHeight="1">
      <c r="A6" s="9" t="s">
        <v>51</v>
      </c>
      <c r="B6" s="9" t="s">
        <v>52</v>
      </c>
      <c r="C6" s="16" t="s">
        <v>53</v>
      </c>
      <c r="D6" s="11">
        <v>2021</v>
      </c>
      <c r="E6" s="9" t="s">
        <v>42</v>
      </c>
      <c r="F6" s="12">
        <v>2330.73</v>
      </c>
      <c r="G6" t="s">
        <v>49</v>
      </c>
      <c r="H6" s="12">
        <v>1991.73</v>
      </c>
      <c r="I6">
        <v>5.82</v>
      </c>
      <c r="J6">
        <v>886.66</v>
      </c>
      <c r="K6">
        <v>-150.24</v>
      </c>
      <c r="L6">
        <v>438.77</v>
      </c>
      <c r="M6" s="11"/>
      <c r="N6" s="11"/>
      <c r="O6" s="13" t="str">
        <f t="shared" si="1"/>
        <v/>
      </c>
      <c r="P6" s="9" t="s">
        <v>43</v>
      </c>
      <c r="Q6" s="17"/>
      <c r="R6" s="14" t="str">
        <f t="shared" si="0"/>
        <v>PB Fintech Ltd (Policybazaar)_2021</v>
      </c>
    </row>
    <row r="7" spans="1:18" ht="15" customHeight="1">
      <c r="A7" s="9" t="s">
        <v>51</v>
      </c>
      <c r="B7" s="9" t="s">
        <v>52</v>
      </c>
      <c r="C7" s="16" t="s">
        <v>53</v>
      </c>
      <c r="D7" s="11">
        <v>2021</v>
      </c>
      <c r="E7" s="9" t="s">
        <v>45</v>
      </c>
      <c r="F7" s="12">
        <v>5915.48</v>
      </c>
      <c r="G7" t="s">
        <v>49</v>
      </c>
      <c r="H7" s="12">
        <v>5411.66</v>
      </c>
      <c r="I7">
        <v>32.74</v>
      </c>
      <c r="J7" s="12">
        <v>1424.89</v>
      </c>
      <c r="K7">
        <v>-832.91</v>
      </c>
      <c r="L7">
        <v>367.4</v>
      </c>
      <c r="M7" s="11">
        <v>9</v>
      </c>
      <c r="N7" s="11">
        <v>5</v>
      </c>
      <c r="O7" s="13">
        <f t="shared" si="1"/>
        <v>0.55555555555555558</v>
      </c>
      <c r="P7" s="9" t="s">
        <v>43</v>
      </c>
      <c r="Q7" s="17" t="s">
        <v>54</v>
      </c>
      <c r="R7" s="14" t="str">
        <f t="shared" si="0"/>
        <v>PB Fintech Ltd (Policybazaar)_2022</v>
      </c>
    </row>
    <row r="8" spans="1:18" ht="15" customHeight="1">
      <c r="A8" s="9" t="s">
        <v>51</v>
      </c>
      <c r="B8" s="9" t="s">
        <v>52</v>
      </c>
      <c r="C8" s="16" t="s">
        <v>53</v>
      </c>
      <c r="D8" s="11">
        <v>2021</v>
      </c>
      <c r="E8" s="9" t="s">
        <v>46</v>
      </c>
      <c r="F8" s="12">
        <v>6254.02</v>
      </c>
      <c r="G8" t="s">
        <v>49</v>
      </c>
      <c r="H8" s="12">
        <v>5484.8</v>
      </c>
      <c r="I8">
        <v>65.7</v>
      </c>
      <c r="J8" s="12">
        <v>2557.85</v>
      </c>
      <c r="K8">
        <v>-487.94</v>
      </c>
      <c r="L8">
        <v>72.34</v>
      </c>
      <c r="M8" s="11">
        <v>9</v>
      </c>
      <c r="N8" s="11">
        <v>5</v>
      </c>
      <c r="O8" s="13">
        <f t="shared" si="1"/>
        <v>0.55555555555555558</v>
      </c>
      <c r="P8" s="9" t="s">
        <v>43</v>
      </c>
      <c r="Q8" s="9" t="s">
        <v>55</v>
      </c>
      <c r="R8" s="14" t="str">
        <f t="shared" si="0"/>
        <v>PB Fintech Ltd (Policybazaar)_2023</v>
      </c>
    </row>
    <row r="9" spans="1:18" ht="15" customHeight="1">
      <c r="A9" s="9" t="s">
        <v>51</v>
      </c>
      <c r="B9" s="9" t="s">
        <v>52</v>
      </c>
      <c r="C9" s="16" t="s">
        <v>53</v>
      </c>
      <c r="D9" s="11">
        <v>2021</v>
      </c>
      <c r="E9" s="9" t="s">
        <v>48</v>
      </c>
      <c r="F9" s="12">
        <v>6728.51</v>
      </c>
      <c r="G9" t="s">
        <v>49</v>
      </c>
      <c r="H9" s="15">
        <v>5876.47</v>
      </c>
      <c r="I9">
        <v>63.35</v>
      </c>
      <c r="J9" s="12">
        <v>3437.68</v>
      </c>
      <c r="K9">
        <v>64.41</v>
      </c>
      <c r="L9">
        <v>324.86</v>
      </c>
      <c r="M9" s="11">
        <v>9</v>
      </c>
      <c r="N9" s="11">
        <v>5</v>
      </c>
      <c r="O9" s="13">
        <f t="shared" si="1"/>
        <v>0.55555555555555558</v>
      </c>
      <c r="P9" s="9" t="s">
        <v>43</v>
      </c>
      <c r="Q9" t="s">
        <v>56</v>
      </c>
      <c r="R9" s="14" t="str">
        <f t="shared" si="0"/>
        <v>PB Fintech Ltd (Policybazaar)_2024</v>
      </c>
    </row>
    <row r="10" spans="1:18" ht="15" customHeight="1">
      <c r="A10" s="9" t="s">
        <v>57</v>
      </c>
      <c r="B10" s="9" t="s">
        <v>58</v>
      </c>
      <c r="C10" s="18" t="s">
        <v>59</v>
      </c>
      <c r="D10" s="11">
        <v>2020</v>
      </c>
      <c r="E10" s="9" t="s">
        <v>42</v>
      </c>
      <c r="F10">
        <v>841.93</v>
      </c>
      <c r="G10">
        <v>0</v>
      </c>
      <c r="H10">
        <v>515.87</v>
      </c>
      <c r="I10">
        <v>26.68</v>
      </c>
      <c r="J10">
        <v>705.5</v>
      </c>
      <c r="K10">
        <v>205.29</v>
      </c>
      <c r="L10">
        <v>17.43</v>
      </c>
      <c r="M10" s="11">
        <v>7</v>
      </c>
      <c r="N10" s="11">
        <v>3</v>
      </c>
      <c r="O10" s="13">
        <f t="shared" si="1"/>
        <v>0.42857142857142855</v>
      </c>
      <c r="P10" s="9" t="s">
        <v>43</v>
      </c>
      <c r="Q10" s="9"/>
      <c r="R10" s="14" t="str">
        <f t="shared" si="0"/>
        <v>Computer Age Management Services Ltd (CAMS)_2021</v>
      </c>
    </row>
    <row r="11" spans="1:18" ht="15" customHeight="1">
      <c r="A11" s="9" t="s">
        <v>57</v>
      </c>
      <c r="B11" s="9" t="s">
        <v>58</v>
      </c>
      <c r="C11" s="18" t="s">
        <v>59</v>
      </c>
      <c r="D11" s="11">
        <v>2020</v>
      </c>
      <c r="E11" s="9" t="s">
        <v>45</v>
      </c>
      <c r="F11">
        <v>957.07</v>
      </c>
      <c r="G11">
        <v>0</v>
      </c>
      <c r="H11">
        <v>647.64</v>
      </c>
      <c r="I11">
        <v>62.25</v>
      </c>
      <c r="J11">
        <v>909.67</v>
      </c>
      <c r="K11">
        <v>286.95</v>
      </c>
      <c r="L11">
        <v>4.51</v>
      </c>
      <c r="M11" s="11">
        <v>7</v>
      </c>
      <c r="N11" s="11">
        <v>3</v>
      </c>
      <c r="O11" s="13">
        <f t="shared" si="1"/>
        <v>0.42857142857142855</v>
      </c>
      <c r="P11" s="9" t="s">
        <v>43</v>
      </c>
      <c r="Q11" s="9" t="s">
        <v>60</v>
      </c>
      <c r="R11" s="14" t="str">
        <f t="shared" si="0"/>
        <v>Computer Age Management Services Ltd (CAMS)_2022</v>
      </c>
    </row>
    <row r="12" spans="1:18" ht="15" customHeight="1">
      <c r="A12" s="9" t="s">
        <v>57</v>
      </c>
      <c r="B12" s="9" t="s">
        <v>58</v>
      </c>
      <c r="C12" s="18" t="s">
        <v>59</v>
      </c>
      <c r="D12" s="11">
        <v>2020</v>
      </c>
      <c r="E12" s="9" t="s">
        <v>46</v>
      </c>
      <c r="F12" s="12">
        <v>1097.55</v>
      </c>
      <c r="G12">
        <v>0</v>
      </c>
      <c r="H12">
        <v>782.47</v>
      </c>
      <c r="I12">
        <v>44.51</v>
      </c>
      <c r="J12">
        <v>971.83</v>
      </c>
      <c r="K12">
        <v>284.63</v>
      </c>
      <c r="L12">
        <v>16.39</v>
      </c>
      <c r="M12" s="11">
        <v>7</v>
      </c>
      <c r="N12" s="11">
        <v>3</v>
      </c>
      <c r="O12" s="13">
        <f t="shared" si="1"/>
        <v>0.42857142857142855</v>
      </c>
      <c r="P12" s="9" t="s">
        <v>43</v>
      </c>
      <c r="Q12" s="19" t="s">
        <v>61</v>
      </c>
      <c r="R12" s="14" t="str">
        <f t="shared" si="0"/>
        <v>Computer Age Management Services Ltd (CAMS)_2023</v>
      </c>
    </row>
    <row r="13" spans="1:18" ht="15" customHeight="1">
      <c r="A13" s="9" t="s">
        <v>57</v>
      </c>
      <c r="B13" s="9" t="s">
        <v>58</v>
      </c>
      <c r="C13" s="18" t="s">
        <v>59</v>
      </c>
      <c r="D13" s="11">
        <v>2020</v>
      </c>
      <c r="E13" s="9" t="s">
        <v>48</v>
      </c>
      <c r="F13" s="12">
        <v>1097.55</v>
      </c>
      <c r="G13">
        <v>0</v>
      </c>
      <c r="H13">
        <v>915.65</v>
      </c>
      <c r="I13">
        <v>38.369999999999997</v>
      </c>
      <c r="J13" s="12">
        <v>1136.52</v>
      </c>
      <c r="K13">
        <v>350.98</v>
      </c>
      <c r="L13">
        <v>6.74</v>
      </c>
      <c r="M13" s="11">
        <v>6</v>
      </c>
      <c r="N13" s="11">
        <v>3</v>
      </c>
      <c r="O13" s="13">
        <f t="shared" si="1"/>
        <v>0.5</v>
      </c>
      <c r="P13" s="9" t="s">
        <v>43</v>
      </c>
      <c r="Q13" t="s">
        <v>62</v>
      </c>
      <c r="R13" s="14" t="str">
        <f t="shared" si="0"/>
        <v>Computer Age Management Services Ltd (CAMS)_2024</v>
      </c>
    </row>
    <row r="14" spans="1:18" ht="15" customHeight="1">
      <c r="A14" s="9" t="s">
        <v>63</v>
      </c>
      <c r="B14" s="9" t="s">
        <v>64</v>
      </c>
      <c r="C14" s="18" t="s">
        <v>59</v>
      </c>
      <c r="D14" s="11">
        <v>2017</v>
      </c>
      <c r="E14" s="9" t="s">
        <v>42</v>
      </c>
      <c r="F14" s="12">
        <v>1084</v>
      </c>
      <c r="G14">
        <v>0</v>
      </c>
      <c r="H14">
        <v>920</v>
      </c>
      <c r="I14">
        <v>8.34</v>
      </c>
      <c r="J14">
        <v>343.72</v>
      </c>
      <c r="K14">
        <v>201.27</v>
      </c>
      <c r="L14">
        <v>41.89</v>
      </c>
      <c r="M14" s="11">
        <v>8</v>
      </c>
      <c r="N14" s="11">
        <v>5</v>
      </c>
      <c r="O14" s="13">
        <f t="shared" si="1"/>
        <v>0.625</v>
      </c>
      <c r="P14" s="9" t="s">
        <v>43</v>
      </c>
      <c r="Q14" s="9"/>
      <c r="R14" s="14" t="str">
        <f t="shared" si="0"/>
        <v>Central Depository Services (India) Ltd (CDSL)_2021</v>
      </c>
    </row>
    <row r="15" spans="1:18" ht="15" customHeight="1">
      <c r="A15" s="9" t="s">
        <v>63</v>
      </c>
      <c r="B15" s="9" t="s">
        <v>64</v>
      </c>
      <c r="C15" s="18" t="s">
        <v>59</v>
      </c>
      <c r="D15" s="11">
        <v>2017</v>
      </c>
      <c r="E15" s="9" t="s">
        <v>45</v>
      </c>
      <c r="F15" s="12">
        <v>1325.56</v>
      </c>
      <c r="G15">
        <v>0</v>
      </c>
      <c r="H15" s="12">
        <v>1136.3</v>
      </c>
      <c r="I15">
        <v>44.54</v>
      </c>
      <c r="J15">
        <v>551.33000000000004</v>
      </c>
      <c r="K15">
        <v>311.81</v>
      </c>
      <c r="L15">
        <v>85.59</v>
      </c>
      <c r="M15" s="11">
        <v>8</v>
      </c>
      <c r="N15" s="11">
        <v>5</v>
      </c>
      <c r="O15" s="13">
        <f t="shared" si="1"/>
        <v>0.625</v>
      </c>
      <c r="P15" s="9" t="s">
        <v>43</v>
      </c>
      <c r="Q15" t="s">
        <v>65</v>
      </c>
      <c r="R15" s="14" t="str">
        <f t="shared" si="0"/>
        <v>Central Depository Services (India) Ltd (CDSL)_2022</v>
      </c>
    </row>
    <row r="16" spans="1:18" ht="15" customHeight="1">
      <c r="A16" s="9" t="s">
        <v>63</v>
      </c>
      <c r="B16" s="9" t="s">
        <v>64</v>
      </c>
      <c r="C16" s="18" t="s">
        <v>59</v>
      </c>
      <c r="D16" s="11">
        <v>2017</v>
      </c>
      <c r="E16" s="9" t="s">
        <v>46</v>
      </c>
      <c r="F16" s="12">
        <v>1457.17</v>
      </c>
      <c r="G16">
        <v>0</v>
      </c>
      <c r="H16" s="12">
        <v>1257.1400000000001</v>
      </c>
      <c r="I16">
        <v>205.59</v>
      </c>
      <c r="J16">
        <v>555.09</v>
      </c>
      <c r="K16">
        <v>275.95999999999998</v>
      </c>
      <c r="L16">
        <v>50.36</v>
      </c>
      <c r="M16" s="11">
        <v>9</v>
      </c>
      <c r="N16" s="11">
        <v>6</v>
      </c>
      <c r="O16" s="13">
        <f t="shared" si="1"/>
        <v>0.66666666666666663</v>
      </c>
      <c r="P16" s="9" t="s">
        <v>43</v>
      </c>
      <c r="Q16" s="19" t="s">
        <v>66</v>
      </c>
      <c r="R16" s="14" t="str">
        <f t="shared" si="0"/>
        <v>Central Depository Services (India) Ltd (CDSL)_2023</v>
      </c>
    </row>
    <row r="17" spans="1:18" ht="15" customHeight="1">
      <c r="A17" s="9" t="s">
        <v>63</v>
      </c>
      <c r="B17" s="9" t="s">
        <v>64</v>
      </c>
      <c r="C17" s="18" t="s">
        <v>59</v>
      </c>
      <c r="D17" s="11">
        <v>2017</v>
      </c>
      <c r="E17" s="9" t="s">
        <v>48</v>
      </c>
      <c r="F17" s="12">
        <v>1781.65</v>
      </c>
      <c r="G17">
        <v>0</v>
      </c>
      <c r="H17" s="12">
        <v>1507.19</v>
      </c>
      <c r="I17">
        <v>73.459999999999994</v>
      </c>
      <c r="J17">
        <v>812.26</v>
      </c>
      <c r="K17">
        <v>419.55</v>
      </c>
      <c r="L17">
        <v>18.48</v>
      </c>
      <c r="M17" s="11">
        <v>9</v>
      </c>
      <c r="N17" s="11">
        <v>6</v>
      </c>
      <c r="O17" s="13">
        <f t="shared" si="1"/>
        <v>0.66666666666666663</v>
      </c>
      <c r="P17" s="9" t="s">
        <v>43</v>
      </c>
      <c r="Q17" t="s">
        <v>67</v>
      </c>
      <c r="R17" s="14" t="str">
        <f t="shared" si="0"/>
        <v>Central Depository Services (India) Ltd (CDSL)_2024</v>
      </c>
    </row>
    <row r="18" spans="1:18" ht="15" customHeight="1">
      <c r="A18" s="9" t="s">
        <v>68</v>
      </c>
      <c r="B18" s="9" t="s">
        <v>69</v>
      </c>
      <c r="C18" s="18" t="s">
        <v>59</v>
      </c>
      <c r="D18" s="11">
        <v>2017</v>
      </c>
      <c r="E18" s="9" t="s">
        <v>42</v>
      </c>
      <c r="F18" s="12">
        <v>4627.08</v>
      </c>
      <c r="G18">
        <v>0</v>
      </c>
      <c r="H18" s="12">
        <v>2515.9299999999998</v>
      </c>
      <c r="I18">
        <v>38.19</v>
      </c>
      <c r="J18">
        <v>501.37</v>
      </c>
      <c r="K18">
        <v>141.69999999999999</v>
      </c>
      <c r="L18">
        <v>416.15</v>
      </c>
      <c r="M18" s="11">
        <v>8</v>
      </c>
      <c r="N18" s="11">
        <v>6</v>
      </c>
      <c r="O18" s="13">
        <f t="shared" si="1"/>
        <v>0.75</v>
      </c>
      <c r="P18" s="9" t="s">
        <v>43</v>
      </c>
      <c r="Q18" t="s">
        <v>70</v>
      </c>
      <c r="R18" s="14" t="str">
        <f t="shared" si="0"/>
        <v>BSE Ltd_2021</v>
      </c>
    </row>
    <row r="19" spans="1:18" ht="15" customHeight="1">
      <c r="A19" s="9" t="s">
        <v>68</v>
      </c>
      <c r="B19" s="9" t="s">
        <v>69</v>
      </c>
      <c r="C19" s="18" t="s">
        <v>59</v>
      </c>
      <c r="D19" s="11">
        <v>2017</v>
      </c>
      <c r="E19" s="9" t="s">
        <v>45</v>
      </c>
      <c r="F19" s="12">
        <v>6185.4</v>
      </c>
      <c r="G19">
        <v>0</v>
      </c>
      <c r="H19" s="12">
        <v>2789.71</v>
      </c>
      <c r="I19">
        <v>31.96</v>
      </c>
      <c r="J19">
        <v>743.15</v>
      </c>
      <c r="K19">
        <v>244.93</v>
      </c>
      <c r="L19">
        <v>886.94</v>
      </c>
      <c r="M19" s="11">
        <v>8</v>
      </c>
      <c r="N19" s="11">
        <v>6</v>
      </c>
      <c r="O19" s="13">
        <f t="shared" si="1"/>
        <v>0.75</v>
      </c>
      <c r="P19" s="9" t="s">
        <v>43</v>
      </c>
      <c r="Q19" t="s">
        <v>71</v>
      </c>
      <c r="R19" s="14" t="str">
        <f t="shared" si="0"/>
        <v>BSE Ltd_2022</v>
      </c>
    </row>
    <row r="20" spans="1:18" ht="15" customHeight="1">
      <c r="A20" s="9" t="s">
        <v>68</v>
      </c>
      <c r="B20" s="9" t="s">
        <v>69</v>
      </c>
      <c r="C20" s="18" t="s">
        <v>59</v>
      </c>
      <c r="D20" s="11">
        <v>2017</v>
      </c>
      <c r="E20" s="9" t="s">
        <v>46</v>
      </c>
      <c r="F20" s="12">
        <v>5993.81</v>
      </c>
      <c r="G20">
        <v>0</v>
      </c>
      <c r="H20" s="12">
        <v>2828.99</v>
      </c>
      <c r="I20">
        <v>143.41999999999999</v>
      </c>
      <c r="J20">
        <v>815.53</v>
      </c>
      <c r="K20">
        <v>166.91</v>
      </c>
      <c r="L20">
        <v>452.99</v>
      </c>
      <c r="M20" s="11">
        <v>9</v>
      </c>
      <c r="N20" s="11">
        <v>7</v>
      </c>
      <c r="O20" s="13">
        <f t="shared" si="1"/>
        <v>0.77777777777777779</v>
      </c>
      <c r="P20" s="9" t="s">
        <v>43</v>
      </c>
      <c r="Q20" t="s">
        <v>72</v>
      </c>
      <c r="R20" s="14" t="str">
        <f t="shared" si="0"/>
        <v>BSE Ltd_2023</v>
      </c>
    </row>
    <row r="21" spans="1:18" ht="15" customHeight="1">
      <c r="A21" s="9" t="s">
        <v>68</v>
      </c>
      <c r="B21" s="9" t="s">
        <v>69</v>
      </c>
      <c r="C21" s="18" t="s">
        <v>59</v>
      </c>
      <c r="D21" s="11">
        <v>2017</v>
      </c>
      <c r="E21" s="9" t="s">
        <v>48</v>
      </c>
      <c r="F21" s="12">
        <v>9450.23</v>
      </c>
      <c r="G21">
        <v>0</v>
      </c>
      <c r="H21" s="12">
        <v>3454.66</v>
      </c>
      <c r="I21">
        <v>131.32</v>
      </c>
      <c r="J21" s="12">
        <v>1390.03</v>
      </c>
      <c r="K21">
        <v>753.39</v>
      </c>
      <c r="L21" s="12">
        <v>2112.4899999999998</v>
      </c>
      <c r="M21" s="11">
        <v>9</v>
      </c>
      <c r="N21" s="11">
        <v>7</v>
      </c>
      <c r="O21" s="13">
        <f t="shared" si="1"/>
        <v>0.77777777777777779</v>
      </c>
      <c r="P21" s="9" t="s">
        <v>43</v>
      </c>
      <c r="Q21" t="s">
        <v>73</v>
      </c>
      <c r="R21" s="14" t="str">
        <f t="shared" si="0"/>
        <v>BSE Ltd_2024</v>
      </c>
    </row>
    <row r="22" spans="1:18" ht="15" customHeight="1">
      <c r="A22" s="9" t="s">
        <v>74</v>
      </c>
      <c r="B22" s="9" t="s">
        <v>75</v>
      </c>
      <c r="C22" s="20" t="s">
        <v>76</v>
      </c>
      <c r="D22" s="11">
        <v>2018</v>
      </c>
      <c r="E22" s="9" t="s">
        <v>42</v>
      </c>
      <c r="F22" s="12">
        <v>4813.83</v>
      </c>
      <c r="G22" s="12">
        <v>1171.47</v>
      </c>
      <c r="H22" s="12">
        <v>1130.9970000000001</v>
      </c>
      <c r="I22">
        <v>14.42</v>
      </c>
      <c r="J22" s="12">
        <v>1263.68</v>
      </c>
      <c r="K22">
        <v>296.86</v>
      </c>
      <c r="L22">
        <v>82.04</v>
      </c>
      <c r="M22" s="11">
        <v>6</v>
      </c>
      <c r="N22" s="11">
        <v>3</v>
      </c>
      <c r="O22" s="13">
        <f t="shared" si="1"/>
        <v>0.5</v>
      </c>
      <c r="P22" s="9" t="s">
        <v>43</v>
      </c>
      <c r="Q22" s="19" t="s">
        <v>77</v>
      </c>
      <c r="R22" s="14" t="str">
        <f t="shared" si="0"/>
        <v>Angel One Ltd_2021</v>
      </c>
    </row>
    <row r="23" spans="1:18" ht="15" customHeight="1">
      <c r="A23" s="9" t="s">
        <v>74</v>
      </c>
      <c r="B23" s="9" t="s">
        <v>75</v>
      </c>
      <c r="C23" s="20" t="s">
        <v>76</v>
      </c>
      <c r="D23" s="11">
        <v>2018</v>
      </c>
      <c r="E23" s="9" t="s">
        <v>45</v>
      </c>
      <c r="F23" s="12">
        <v>7219.94</v>
      </c>
      <c r="G23" s="12">
        <v>1257.73</v>
      </c>
      <c r="H23" s="15">
        <v>1584.38</v>
      </c>
      <c r="I23">
        <v>69.75</v>
      </c>
      <c r="J23" s="12">
        <v>2258.61</v>
      </c>
      <c r="K23">
        <v>624.80999999999995</v>
      </c>
      <c r="L23">
        <v>422.11</v>
      </c>
      <c r="M23" s="11">
        <v>7</v>
      </c>
      <c r="N23" s="11">
        <v>4</v>
      </c>
      <c r="O23" s="13">
        <f t="shared" si="1"/>
        <v>0.5714285714285714</v>
      </c>
      <c r="P23" s="9" t="s">
        <v>43</v>
      </c>
      <c r="Q23" t="s">
        <v>78</v>
      </c>
      <c r="R23" s="14" t="str">
        <f t="shared" si="0"/>
        <v>Angel One Ltd_2022</v>
      </c>
    </row>
    <row r="24" spans="1:18" ht="15" customHeight="1">
      <c r="A24" s="9" t="s">
        <v>74</v>
      </c>
      <c r="B24" s="9" t="s">
        <v>75</v>
      </c>
      <c r="C24" s="20" t="s">
        <v>76</v>
      </c>
      <c r="D24" s="11">
        <v>2018</v>
      </c>
      <c r="E24" s="9" t="s">
        <v>46</v>
      </c>
      <c r="F24" s="12">
        <v>7477.67</v>
      </c>
      <c r="G24">
        <v>787.95</v>
      </c>
      <c r="H24" s="12">
        <v>2161.56</v>
      </c>
      <c r="I24">
        <v>114.16</v>
      </c>
      <c r="J24" s="12">
        <v>3001.59</v>
      </c>
      <c r="K24">
        <v>889.95</v>
      </c>
      <c r="L24">
        <v>133.06</v>
      </c>
      <c r="M24" s="11">
        <v>9</v>
      </c>
      <c r="N24" s="11">
        <v>6</v>
      </c>
      <c r="O24" s="13">
        <f t="shared" si="1"/>
        <v>0.66666666666666663</v>
      </c>
      <c r="P24" s="9" t="s">
        <v>43</v>
      </c>
      <c r="Q24" t="s">
        <v>79</v>
      </c>
      <c r="R24" s="14" t="str">
        <f t="shared" si="0"/>
        <v>Angel One Ltd_2023</v>
      </c>
    </row>
    <row r="25" spans="1:18" ht="15" customHeight="1">
      <c r="A25" s="9" t="s">
        <v>74</v>
      </c>
      <c r="B25" s="9" t="s">
        <v>75</v>
      </c>
      <c r="C25" s="20" t="s">
        <v>76</v>
      </c>
      <c r="D25" s="11">
        <v>2018</v>
      </c>
      <c r="E25" s="9" t="s">
        <v>48</v>
      </c>
      <c r="F25" s="12">
        <v>13253.73</v>
      </c>
      <c r="G25" s="12">
        <v>2535.34</v>
      </c>
      <c r="H25" s="12">
        <v>3038.6</v>
      </c>
      <c r="I25">
        <v>207.51</v>
      </c>
      <c r="J25" s="12">
        <v>4271.68</v>
      </c>
      <c r="K25" s="12">
        <v>1125.53</v>
      </c>
      <c r="L25" s="12">
        <v>1042.99</v>
      </c>
      <c r="M25" s="11">
        <v>9</v>
      </c>
      <c r="N25" s="11">
        <v>5</v>
      </c>
      <c r="O25" s="13">
        <f t="shared" si="1"/>
        <v>0.55555555555555558</v>
      </c>
      <c r="P25" s="9" t="s">
        <v>43</v>
      </c>
      <c r="Q25" t="s">
        <v>80</v>
      </c>
      <c r="R25" s="14" t="str">
        <f t="shared" si="0"/>
        <v>Angel One Ltd_2024</v>
      </c>
    </row>
    <row r="26" spans="1:18" ht="15" customHeight="1">
      <c r="A26" s="9" t="s">
        <v>81</v>
      </c>
      <c r="B26" s="9" t="s">
        <v>82</v>
      </c>
      <c r="C26" s="20" t="s">
        <v>76</v>
      </c>
      <c r="D26" s="11">
        <v>2019</v>
      </c>
      <c r="E26" s="9" t="s">
        <v>42</v>
      </c>
      <c r="F26">
        <v>866.89</v>
      </c>
      <c r="G26">
        <v>233.93</v>
      </c>
      <c r="H26">
        <v>156.08000000000001</v>
      </c>
      <c r="I26">
        <v>4.13</v>
      </c>
      <c r="J26">
        <v>192.91</v>
      </c>
      <c r="K26">
        <v>14.69</v>
      </c>
      <c r="L26">
        <v>16.88</v>
      </c>
      <c r="M26" s="11">
        <v>7</v>
      </c>
      <c r="N26" s="11">
        <v>4</v>
      </c>
      <c r="O26" s="13">
        <f t="shared" si="1"/>
        <v>0.5714285714285714</v>
      </c>
      <c r="P26" s="9" t="s">
        <v>43</v>
      </c>
      <c r="Q26" s="9"/>
      <c r="R26" s="14" t="str">
        <f t="shared" si="0"/>
        <v>5paisa Capital Ltd_2021</v>
      </c>
    </row>
    <row r="27" spans="1:18" ht="15" customHeight="1">
      <c r="A27" s="9" t="s">
        <v>81</v>
      </c>
      <c r="B27" s="9" t="s">
        <v>82</v>
      </c>
      <c r="C27" s="20" t="s">
        <v>76</v>
      </c>
      <c r="D27" s="11">
        <v>2019</v>
      </c>
      <c r="E27" s="9" t="s">
        <v>45</v>
      </c>
      <c r="F27" s="12">
        <v>1608.56</v>
      </c>
      <c r="G27">
        <v>278.98</v>
      </c>
      <c r="H27">
        <v>373.98</v>
      </c>
      <c r="I27">
        <v>7.46</v>
      </c>
      <c r="J27">
        <v>296.97000000000003</v>
      </c>
      <c r="K27">
        <v>13.74</v>
      </c>
      <c r="L27">
        <v>89.41</v>
      </c>
      <c r="M27" s="11">
        <v>7</v>
      </c>
      <c r="N27" s="11">
        <v>4</v>
      </c>
      <c r="O27" s="13">
        <f t="shared" si="1"/>
        <v>0.5714285714285714</v>
      </c>
      <c r="P27" s="9" t="s">
        <v>43</v>
      </c>
      <c r="Q27" s="9"/>
      <c r="R27" s="14" t="str">
        <f t="shared" si="0"/>
        <v>5paisa Capital Ltd_2022</v>
      </c>
    </row>
    <row r="28" spans="1:18" ht="15" customHeight="1">
      <c r="A28" s="9" t="s">
        <v>81</v>
      </c>
      <c r="B28" s="9" t="s">
        <v>82</v>
      </c>
      <c r="C28" s="20" t="s">
        <v>76</v>
      </c>
      <c r="D28" s="11">
        <v>2019</v>
      </c>
      <c r="E28" s="9" t="s">
        <v>46</v>
      </c>
      <c r="F28" s="12">
        <v>1641.63</v>
      </c>
      <c r="G28">
        <v>169.28</v>
      </c>
      <c r="H28">
        <v>463.26</v>
      </c>
      <c r="I28">
        <v>13.57</v>
      </c>
      <c r="J28">
        <v>337.87</v>
      </c>
      <c r="K28">
        <v>43.57</v>
      </c>
      <c r="L28">
        <v>20.93</v>
      </c>
      <c r="M28" s="11">
        <v>6</v>
      </c>
      <c r="N28" s="11">
        <v>4</v>
      </c>
      <c r="O28" s="13">
        <f t="shared" si="1"/>
        <v>0.66666666666666663</v>
      </c>
      <c r="P28" s="9" t="s">
        <v>43</v>
      </c>
      <c r="Q28" s="9"/>
      <c r="R28" s="14" t="str">
        <f t="shared" si="0"/>
        <v>5paisa Capital Ltd_2023</v>
      </c>
    </row>
    <row r="29" spans="1:18" ht="15" customHeight="1">
      <c r="A29" s="9" t="s">
        <v>81</v>
      </c>
      <c r="B29" s="9" t="s">
        <v>82</v>
      </c>
      <c r="C29" s="20" t="s">
        <v>76</v>
      </c>
      <c r="D29" s="11">
        <v>2019</v>
      </c>
      <c r="E29" s="9" t="s">
        <v>48</v>
      </c>
      <c r="F29" s="12">
        <v>2047.85</v>
      </c>
      <c r="G29">
        <v>336.32</v>
      </c>
      <c r="H29">
        <v>539.89</v>
      </c>
      <c r="I29">
        <v>19.420000000000002</v>
      </c>
      <c r="J29">
        <v>394.57</v>
      </c>
      <c r="K29">
        <v>54.44</v>
      </c>
      <c r="L29">
        <v>70.91</v>
      </c>
      <c r="M29" s="11">
        <v>6</v>
      </c>
      <c r="N29" s="11">
        <v>4</v>
      </c>
      <c r="O29" s="13">
        <f t="shared" si="1"/>
        <v>0.66666666666666663</v>
      </c>
      <c r="P29" s="9" t="s">
        <v>43</v>
      </c>
      <c r="Q29" s="9"/>
      <c r="R29" s="14" t="str">
        <f t="shared" si="0"/>
        <v>5paisa Capital Ltd_2024</v>
      </c>
    </row>
    <row r="30" spans="1:18" ht="15" customHeight="1">
      <c r="A30" s="9" t="s">
        <v>83</v>
      </c>
      <c r="B30" s="9" t="s">
        <v>84</v>
      </c>
      <c r="C30" s="10" t="s">
        <v>41</v>
      </c>
      <c r="D30" s="11">
        <v>2016</v>
      </c>
      <c r="E30" s="9" t="s">
        <v>42</v>
      </c>
      <c r="F30" s="12">
        <v>3549.64</v>
      </c>
      <c r="G30">
        <v>19.829999999999998</v>
      </c>
      <c r="H30" s="12">
        <v>2887.91</v>
      </c>
      <c r="I30">
        <v>84.2</v>
      </c>
      <c r="J30">
        <v>676.04</v>
      </c>
      <c r="K30">
        <v>70.25</v>
      </c>
      <c r="L30">
        <v>177.41</v>
      </c>
      <c r="M30" s="11">
        <v>7</v>
      </c>
      <c r="N30" s="11">
        <v>4</v>
      </c>
      <c r="O30" s="13">
        <f t="shared" si="1"/>
        <v>0.5714285714285714</v>
      </c>
      <c r="P30" s="9" t="s">
        <v>43</v>
      </c>
      <c r="Q30" t="s">
        <v>85</v>
      </c>
      <c r="R30" s="14" t="str">
        <f t="shared" si="0"/>
        <v>Infibeam Avenues Ltd_2021</v>
      </c>
    </row>
    <row r="31" spans="1:18" ht="15" customHeight="1">
      <c r="A31" s="9" t="s">
        <v>83</v>
      </c>
      <c r="B31" s="9" t="s">
        <v>84</v>
      </c>
      <c r="C31" s="10" t="s">
        <v>41</v>
      </c>
      <c r="D31" s="11">
        <v>2016</v>
      </c>
      <c r="E31" s="9" t="s">
        <v>45</v>
      </c>
      <c r="F31" s="12">
        <v>3854.34</v>
      </c>
      <c r="G31">
        <v>0.21</v>
      </c>
      <c r="H31" s="12">
        <v>2954.85</v>
      </c>
      <c r="I31">
        <v>82.19</v>
      </c>
      <c r="J31" s="12">
        <v>1293.93</v>
      </c>
      <c r="K31">
        <v>83.65</v>
      </c>
      <c r="L31">
        <v>208.8</v>
      </c>
      <c r="M31" s="11">
        <v>7</v>
      </c>
      <c r="N31" s="11">
        <v>4</v>
      </c>
      <c r="O31" s="13">
        <f t="shared" si="1"/>
        <v>0.5714285714285714</v>
      </c>
      <c r="P31" s="9" t="s">
        <v>43</v>
      </c>
      <c r="Q31" t="s">
        <v>86</v>
      </c>
      <c r="R31" s="14" t="str">
        <f t="shared" si="0"/>
        <v>Infibeam Avenues Ltd_2022</v>
      </c>
    </row>
    <row r="32" spans="1:18" ht="15" customHeight="1">
      <c r="A32" s="9" t="s">
        <v>83</v>
      </c>
      <c r="B32" s="9" t="s">
        <v>84</v>
      </c>
      <c r="C32" s="10" t="s">
        <v>41</v>
      </c>
      <c r="D32" s="11">
        <v>2016</v>
      </c>
      <c r="E32" s="9" t="s">
        <v>46</v>
      </c>
      <c r="F32" s="12">
        <v>4104.0200000000004</v>
      </c>
      <c r="G32">
        <v>0</v>
      </c>
      <c r="H32" s="12">
        <v>3166.46</v>
      </c>
      <c r="I32">
        <v>34.29</v>
      </c>
      <c r="J32" s="12">
        <v>1962.34</v>
      </c>
      <c r="K32">
        <v>136.27000000000001</v>
      </c>
      <c r="L32">
        <v>270.02</v>
      </c>
      <c r="M32" s="11">
        <v>7</v>
      </c>
      <c r="N32" s="11">
        <v>4</v>
      </c>
      <c r="O32" s="13">
        <f t="shared" si="1"/>
        <v>0.5714285714285714</v>
      </c>
      <c r="P32" s="9" t="s">
        <v>43</v>
      </c>
      <c r="Q32" t="s">
        <v>87</v>
      </c>
      <c r="R32" s="14" t="str">
        <f t="shared" si="0"/>
        <v>Infibeam Avenues Ltd_2023</v>
      </c>
    </row>
    <row r="33" spans="1:18" ht="15" customHeight="1">
      <c r="A33" s="9" t="s">
        <v>83</v>
      </c>
      <c r="B33" s="9" t="s">
        <v>84</v>
      </c>
      <c r="C33" s="10" t="s">
        <v>41</v>
      </c>
      <c r="D33" s="11">
        <v>2016</v>
      </c>
      <c r="E33" s="9" t="s">
        <v>48</v>
      </c>
      <c r="F33" s="12">
        <v>5216.07</v>
      </c>
      <c r="G33">
        <v>71.72</v>
      </c>
      <c r="H33" s="12">
        <v>3455.74</v>
      </c>
      <c r="I33">
        <v>291.85000000000002</v>
      </c>
      <c r="J33" s="12">
        <v>3171.09</v>
      </c>
      <c r="K33">
        <v>155.94999999999999</v>
      </c>
      <c r="L33">
        <v>707.32</v>
      </c>
      <c r="M33" s="11">
        <v>7</v>
      </c>
      <c r="N33" s="11">
        <v>4</v>
      </c>
      <c r="O33" s="13">
        <f t="shared" si="1"/>
        <v>0.5714285714285714</v>
      </c>
      <c r="P33" s="9" t="s">
        <v>43</v>
      </c>
      <c r="Q33" s="19" t="s">
        <v>88</v>
      </c>
      <c r="R33" s="14" t="str">
        <f t="shared" si="0"/>
        <v>Infibeam Avenues Ltd_2024</v>
      </c>
    </row>
    <row r="34" spans="1:18" ht="15" customHeight="1">
      <c r="A34" s="9" t="s">
        <v>89</v>
      </c>
      <c r="B34" s="9" t="s">
        <v>90</v>
      </c>
      <c r="C34" s="10" t="s">
        <v>41</v>
      </c>
      <c r="D34" s="11">
        <v>2023</v>
      </c>
      <c r="E34" s="9" t="s">
        <v>42</v>
      </c>
      <c r="F34">
        <v>59.57</v>
      </c>
      <c r="G34">
        <v>33.65</v>
      </c>
      <c r="H34">
        <v>-44.73</v>
      </c>
      <c r="I34">
        <v>1.62</v>
      </c>
      <c r="J34">
        <v>222.31</v>
      </c>
      <c r="K34">
        <v>24.47</v>
      </c>
      <c r="L34">
        <v>3.31</v>
      </c>
      <c r="M34" s="11">
        <v>2</v>
      </c>
      <c r="N34" s="11">
        <v>0</v>
      </c>
      <c r="O34" s="13">
        <f t="shared" si="1"/>
        <v>0</v>
      </c>
      <c r="P34" s="9" t="s">
        <v>43</v>
      </c>
      <c r="Q34" t="s">
        <v>91</v>
      </c>
      <c r="R34" s="14" t="str">
        <f t="shared" ref="R34:R65" si="2">A34&amp;"_"&amp;MID(E34,3,4)</f>
        <v>Zaggle Prepaid Ocean Services Ltd_2021</v>
      </c>
    </row>
    <row r="35" spans="1:18" ht="15" customHeight="1">
      <c r="A35" s="9" t="s">
        <v>89</v>
      </c>
      <c r="B35" s="9" t="s">
        <v>90</v>
      </c>
      <c r="C35" s="10" t="s">
        <v>41</v>
      </c>
      <c r="D35" s="11">
        <v>2023</v>
      </c>
      <c r="E35" s="9" t="s">
        <v>45</v>
      </c>
      <c r="F35" s="15">
        <v>92.65</v>
      </c>
      <c r="G35">
        <v>64.47</v>
      </c>
      <c r="H35">
        <v>-3.56</v>
      </c>
      <c r="I35">
        <v>1.62</v>
      </c>
      <c r="J35">
        <v>371.26</v>
      </c>
      <c r="K35">
        <v>41.92</v>
      </c>
      <c r="L35">
        <v>0.71</v>
      </c>
      <c r="M35" s="11">
        <v>2</v>
      </c>
      <c r="N35" s="11">
        <v>0</v>
      </c>
      <c r="O35" s="13">
        <f t="shared" ref="O35:O66" si="3">IFERROR(N35/M35,"")</f>
        <v>0</v>
      </c>
      <c r="P35" s="9" t="s">
        <v>43</v>
      </c>
      <c r="Q35" t="s">
        <v>92</v>
      </c>
      <c r="R35" s="14" t="str">
        <f t="shared" si="2"/>
        <v>Zaggle Prepaid Ocean Services Ltd_2022</v>
      </c>
    </row>
    <row r="36" spans="1:18" ht="15" customHeight="1">
      <c r="A36" s="9" t="s">
        <v>89</v>
      </c>
      <c r="B36" s="9" t="s">
        <v>90</v>
      </c>
      <c r="C36" s="10" t="s">
        <v>41</v>
      </c>
      <c r="D36" s="11">
        <v>2023</v>
      </c>
      <c r="E36" s="9" t="s">
        <v>46</v>
      </c>
      <c r="F36">
        <v>234.76</v>
      </c>
      <c r="G36">
        <v>121.07</v>
      </c>
      <c r="H36">
        <v>48.75</v>
      </c>
      <c r="I36">
        <v>4.59</v>
      </c>
      <c r="J36">
        <v>553.46</v>
      </c>
      <c r="K36">
        <v>22.9</v>
      </c>
      <c r="L36">
        <v>19.59</v>
      </c>
      <c r="M36" s="11">
        <v>2</v>
      </c>
      <c r="N36" s="11">
        <v>0</v>
      </c>
      <c r="O36" s="13">
        <f t="shared" si="3"/>
        <v>0</v>
      </c>
      <c r="P36" s="9" t="s">
        <v>43</v>
      </c>
      <c r="Q36" t="s">
        <v>93</v>
      </c>
      <c r="R36" s="14" t="str">
        <f t="shared" si="2"/>
        <v>Zaggle Prepaid Ocean Services Ltd_2023</v>
      </c>
    </row>
    <row r="37" spans="1:18" ht="15" customHeight="1">
      <c r="A37" s="9" t="s">
        <v>89</v>
      </c>
      <c r="B37" s="9" t="s">
        <v>90</v>
      </c>
      <c r="C37" s="10" t="s">
        <v>41</v>
      </c>
      <c r="D37" s="11">
        <v>2023</v>
      </c>
      <c r="E37" s="9" t="s">
        <v>48</v>
      </c>
      <c r="F37">
        <v>696.14</v>
      </c>
      <c r="G37">
        <v>73.599999999999994</v>
      </c>
      <c r="H37">
        <v>575.38</v>
      </c>
      <c r="I37">
        <v>4.59</v>
      </c>
      <c r="J37">
        <v>775.6</v>
      </c>
      <c r="K37">
        <v>44.02</v>
      </c>
      <c r="L37">
        <v>7.94</v>
      </c>
      <c r="M37" s="11">
        <v>7</v>
      </c>
      <c r="N37" s="11">
        <v>4</v>
      </c>
      <c r="O37" s="13">
        <f t="shared" si="3"/>
        <v>0.5714285714285714</v>
      </c>
      <c r="P37" s="9" t="s">
        <v>43</v>
      </c>
      <c r="Q37" t="s">
        <v>94</v>
      </c>
      <c r="R37" s="14" t="str">
        <f t="shared" si="2"/>
        <v>Zaggle Prepaid Ocean Services Ltd_2024</v>
      </c>
    </row>
    <row r="38" spans="1:18" ht="15" customHeight="1">
      <c r="A38" s="9" t="s">
        <v>95</v>
      </c>
      <c r="B38" s="9" t="s">
        <v>96</v>
      </c>
      <c r="C38" s="10" t="s">
        <v>41</v>
      </c>
      <c r="D38" s="11">
        <v>2021</v>
      </c>
      <c r="E38" s="9" t="s">
        <v>42</v>
      </c>
      <c r="F38" s="12">
        <v>1010.3</v>
      </c>
      <c r="G38">
        <v>180.8</v>
      </c>
      <c r="H38">
        <v>150.6</v>
      </c>
      <c r="I38">
        <v>69</v>
      </c>
      <c r="J38">
        <v>791</v>
      </c>
      <c r="K38">
        <v>20.5</v>
      </c>
      <c r="L38">
        <v>270.8</v>
      </c>
      <c r="M38" s="11"/>
      <c r="N38" s="11"/>
      <c r="O38" s="13" t="str">
        <f t="shared" si="3"/>
        <v/>
      </c>
      <c r="P38" s="9" t="s">
        <v>43</v>
      </c>
      <c r="Q38" s="9"/>
      <c r="R38" s="14" t="str">
        <f t="shared" si="2"/>
        <v>Fino Payments Bank Ltd_2021</v>
      </c>
    </row>
    <row r="39" spans="1:18" ht="15" customHeight="1">
      <c r="A39" s="9" t="s">
        <v>95</v>
      </c>
      <c r="B39" s="9" t="s">
        <v>96</v>
      </c>
      <c r="C39" s="10" t="s">
        <v>41</v>
      </c>
      <c r="D39" s="11">
        <v>2021</v>
      </c>
      <c r="E39" s="9" t="s">
        <v>45</v>
      </c>
      <c r="F39" s="12">
        <v>1680</v>
      </c>
      <c r="G39">
        <v>249.7</v>
      </c>
      <c r="H39">
        <v>479.8</v>
      </c>
      <c r="I39">
        <v>64.400000000000006</v>
      </c>
      <c r="J39" s="12">
        <v>1008.9</v>
      </c>
      <c r="K39">
        <v>42.7</v>
      </c>
      <c r="L39">
        <v>766.2</v>
      </c>
      <c r="M39" s="11">
        <v>8</v>
      </c>
      <c r="N39" s="11">
        <v>5</v>
      </c>
      <c r="O39" s="13">
        <f t="shared" si="3"/>
        <v>0.625</v>
      </c>
      <c r="P39" s="9" t="s">
        <v>43</v>
      </c>
      <c r="Q39" t="s">
        <v>97</v>
      </c>
      <c r="R39" s="14" t="str">
        <f t="shared" si="2"/>
        <v>Fino Payments Bank Ltd_2022</v>
      </c>
    </row>
    <row r="40" spans="1:18" ht="15" customHeight="1">
      <c r="A40" s="9" t="s">
        <v>95</v>
      </c>
      <c r="B40" s="9" t="s">
        <v>96</v>
      </c>
      <c r="C40" s="10" t="s">
        <v>41</v>
      </c>
      <c r="D40" s="11">
        <v>2021</v>
      </c>
      <c r="E40" s="9" t="s">
        <v>46</v>
      </c>
      <c r="F40" s="12">
        <v>2466.4</v>
      </c>
      <c r="G40">
        <v>434.1</v>
      </c>
      <c r="H40">
        <v>552.5</v>
      </c>
      <c r="I40">
        <v>94.3</v>
      </c>
      <c r="J40" s="12">
        <v>1229.9000000000001</v>
      </c>
      <c r="K40">
        <v>65.099999999999994</v>
      </c>
      <c r="L40">
        <v>833.9</v>
      </c>
      <c r="M40" s="11">
        <v>7</v>
      </c>
      <c r="N40" s="11">
        <v>5</v>
      </c>
      <c r="O40" s="13">
        <f t="shared" si="3"/>
        <v>0.7142857142857143</v>
      </c>
      <c r="P40" s="9" t="s">
        <v>43</v>
      </c>
      <c r="Q40" t="s">
        <v>98</v>
      </c>
      <c r="R40" s="14" t="str">
        <f t="shared" si="2"/>
        <v>Fino Payments Bank Ltd_2023</v>
      </c>
    </row>
    <row r="41" spans="1:18" ht="15" customHeight="1">
      <c r="A41" s="9" t="s">
        <v>95</v>
      </c>
      <c r="B41" s="9" t="s">
        <v>96</v>
      </c>
      <c r="C41" s="10" t="s">
        <v>41</v>
      </c>
      <c r="D41" s="11">
        <v>2021</v>
      </c>
      <c r="E41" s="9" t="s">
        <v>48</v>
      </c>
      <c r="F41" s="12">
        <v>3419.1</v>
      </c>
      <c r="G41">
        <v>712.7</v>
      </c>
      <c r="H41">
        <v>643.20000000000005</v>
      </c>
      <c r="I41">
        <v>103.8</v>
      </c>
      <c r="J41" s="12">
        <v>1478.4</v>
      </c>
      <c r="K41">
        <v>86.2</v>
      </c>
      <c r="L41" s="12">
        <v>1065.5999999999999</v>
      </c>
      <c r="M41" s="11">
        <v>8</v>
      </c>
      <c r="N41" s="11">
        <v>5</v>
      </c>
      <c r="O41" s="13">
        <f t="shared" si="3"/>
        <v>0.625</v>
      </c>
      <c r="P41" s="9" t="s">
        <v>43</v>
      </c>
      <c r="Q41" t="s">
        <v>99</v>
      </c>
      <c r="R41" s="14" t="str">
        <f t="shared" si="2"/>
        <v>Fino Payments Bank Ltd_2024</v>
      </c>
    </row>
    <row r="42" spans="1:18" ht="15" customHeight="1">
      <c r="A42" s="9" t="s">
        <v>100</v>
      </c>
      <c r="B42" s="9" t="s">
        <v>101</v>
      </c>
      <c r="C42" s="18" t="s">
        <v>59</v>
      </c>
      <c r="D42" s="11">
        <v>2021</v>
      </c>
      <c r="E42" s="9" t="s">
        <v>42</v>
      </c>
      <c r="F42">
        <v>919.03</v>
      </c>
      <c r="G42">
        <v>293.89</v>
      </c>
      <c r="H42">
        <v>343.56</v>
      </c>
      <c r="I42">
        <v>7.49</v>
      </c>
      <c r="J42">
        <v>481.14</v>
      </c>
      <c r="K42">
        <v>-64.510000000000005</v>
      </c>
      <c r="L42">
        <v>22.93</v>
      </c>
      <c r="M42" s="11">
        <v>8</v>
      </c>
      <c r="N42" s="11">
        <v>3</v>
      </c>
      <c r="O42" s="13">
        <f t="shared" si="3"/>
        <v>0.375</v>
      </c>
      <c r="P42" s="9" t="s">
        <v>43</v>
      </c>
      <c r="Q42" t="s">
        <v>102</v>
      </c>
      <c r="R42" s="14" t="str">
        <f t="shared" si="2"/>
        <v>Kfin Technologies Ltd_2021</v>
      </c>
    </row>
    <row r="43" spans="1:18" ht="15" customHeight="1">
      <c r="A43" s="9" t="s">
        <v>100</v>
      </c>
      <c r="B43" s="9" t="s">
        <v>101</v>
      </c>
      <c r="C43" s="18" t="s">
        <v>59</v>
      </c>
      <c r="D43" s="11">
        <v>2021</v>
      </c>
      <c r="E43" s="9" t="s">
        <v>45</v>
      </c>
      <c r="F43" s="12">
        <v>1058.58</v>
      </c>
      <c r="G43">
        <v>352</v>
      </c>
      <c r="H43">
        <v>494.25</v>
      </c>
      <c r="I43">
        <v>6.81</v>
      </c>
      <c r="J43">
        <v>639.51</v>
      </c>
      <c r="K43">
        <v>148.5</v>
      </c>
      <c r="L43">
        <v>45.03</v>
      </c>
      <c r="M43" s="11">
        <v>9</v>
      </c>
      <c r="N43" s="11">
        <v>3</v>
      </c>
      <c r="O43" s="13">
        <f t="shared" si="3"/>
        <v>0.33333333333333331</v>
      </c>
      <c r="P43" s="9" t="s">
        <v>43</v>
      </c>
      <c r="Q43" t="s">
        <v>103</v>
      </c>
      <c r="R43" s="14" t="str">
        <f t="shared" si="2"/>
        <v>Kfin Technologies Ltd_2022</v>
      </c>
    </row>
    <row r="44" spans="1:18" ht="15" customHeight="1">
      <c r="A44" s="9" t="s">
        <v>100</v>
      </c>
      <c r="B44" s="9" t="s">
        <v>101</v>
      </c>
      <c r="C44" s="18" t="s">
        <v>59</v>
      </c>
      <c r="D44" s="11">
        <v>2021</v>
      </c>
      <c r="E44" s="9" t="s">
        <v>46</v>
      </c>
      <c r="F44" s="12">
        <v>1251.31</v>
      </c>
      <c r="G44">
        <v>130.07</v>
      </c>
      <c r="H44">
        <v>870.22</v>
      </c>
      <c r="I44">
        <v>6.94</v>
      </c>
      <c r="J44">
        <v>720.03</v>
      </c>
      <c r="K44">
        <v>195.74</v>
      </c>
      <c r="L44">
        <v>71.78</v>
      </c>
      <c r="M44" s="11">
        <v>9</v>
      </c>
      <c r="N44" s="11">
        <v>3</v>
      </c>
      <c r="O44" s="13">
        <f t="shared" si="3"/>
        <v>0.33333333333333331</v>
      </c>
      <c r="P44" s="9" t="s">
        <v>43</v>
      </c>
      <c r="Q44" t="s">
        <v>104</v>
      </c>
      <c r="R44" s="14" t="str">
        <f t="shared" si="2"/>
        <v>Kfin Technologies Ltd_2023</v>
      </c>
    </row>
    <row r="45" spans="1:18" ht="15" customHeight="1">
      <c r="A45" s="9" t="s">
        <v>100</v>
      </c>
      <c r="B45" s="9" t="s">
        <v>101</v>
      </c>
      <c r="C45" s="18" t="s">
        <v>59</v>
      </c>
      <c r="D45" s="11">
        <v>2021</v>
      </c>
      <c r="E45" s="9" t="s">
        <v>48</v>
      </c>
      <c r="F45" s="12">
        <v>1418.69</v>
      </c>
      <c r="G45">
        <v>0</v>
      </c>
      <c r="H45" s="12">
        <v>1140.99</v>
      </c>
      <c r="I45">
        <v>8.48</v>
      </c>
      <c r="J45">
        <v>837.53</v>
      </c>
      <c r="K45">
        <v>246.05</v>
      </c>
      <c r="L45">
        <v>56.4</v>
      </c>
      <c r="M45" s="11">
        <v>9</v>
      </c>
      <c r="N45" s="11">
        <v>3</v>
      </c>
      <c r="O45" s="13">
        <f t="shared" si="3"/>
        <v>0.33333333333333331</v>
      </c>
      <c r="P45" s="9" t="s">
        <v>43</v>
      </c>
      <c r="Q45" t="s">
        <v>105</v>
      </c>
      <c r="R45" s="14" t="str">
        <f t="shared" si="2"/>
        <v>Kfin Technologies Ltd_2024</v>
      </c>
    </row>
    <row r="46" spans="1:18" ht="15" customHeight="1">
      <c r="A46" s="9" t="s">
        <v>106</v>
      </c>
      <c r="B46" s="9" t="s">
        <v>107</v>
      </c>
      <c r="C46" s="21" t="s">
        <v>108</v>
      </c>
      <c r="D46" s="11">
        <v>2015</v>
      </c>
      <c r="E46" s="9" t="s">
        <v>42</v>
      </c>
      <c r="F46" s="12">
        <v>2593.52</v>
      </c>
      <c r="G46">
        <v>0.84</v>
      </c>
      <c r="H46" s="12">
        <v>1821.64</v>
      </c>
      <c r="I46">
        <v>129.22</v>
      </c>
      <c r="J46" s="12">
        <v>1878.19</v>
      </c>
      <c r="K46">
        <v>350.44</v>
      </c>
      <c r="L46">
        <v>146.18</v>
      </c>
      <c r="M46" s="11">
        <v>6</v>
      </c>
      <c r="N46" s="11">
        <v>3</v>
      </c>
      <c r="O46" s="13">
        <f t="shared" si="3"/>
        <v>0.5</v>
      </c>
      <c r="P46" s="9" t="s">
        <v>43</v>
      </c>
      <c r="Q46" t="s">
        <v>109</v>
      </c>
      <c r="R46" s="14" t="str">
        <f t="shared" si="2"/>
        <v>Intellect Design Arena Ltd_2021</v>
      </c>
    </row>
    <row r="47" spans="1:18" ht="15" customHeight="1">
      <c r="A47" s="9" t="s">
        <v>106</v>
      </c>
      <c r="B47" s="9" t="s">
        <v>107</v>
      </c>
      <c r="C47" s="21" t="s">
        <v>108</v>
      </c>
      <c r="D47" s="11">
        <v>2015</v>
      </c>
      <c r="E47" s="9" t="s">
        <v>45</v>
      </c>
      <c r="F47" s="12">
        <v>2887.32</v>
      </c>
      <c r="G47">
        <v>0</v>
      </c>
      <c r="H47" s="12">
        <v>2068.62</v>
      </c>
      <c r="I47">
        <v>165.88</v>
      </c>
      <c r="J47" s="12">
        <v>2231.25</v>
      </c>
      <c r="K47">
        <v>268.58999999999997</v>
      </c>
      <c r="L47">
        <v>93.89</v>
      </c>
      <c r="M47" s="11">
        <v>7</v>
      </c>
      <c r="N47" s="11">
        <v>4</v>
      </c>
      <c r="O47" s="13">
        <f t="shared" si="3"/>
        <v>0.5714285714285714</v>
      </c>
      <c r="P47" s="9" t="s">
        <v>43</v>
      </c>
      <c r="Q47" t="s">
        <v>110</v>
      </c>
      <c r="R47" s="14" t="str">
        <f t="shared" si="2"/>
        <v>Intellect Design Arena Ltd_2022</v>
      </c>
    </row>
    <row r="48" spans="1:18" ht="15" customHeight="1">
      <c r="A48" s="9" t="s">
        <v>106</v>
      </c>
      <c r="B48" s="9" t="s">
        <v>107</v>
      </c>
      <c r="C48" s="21" t="s">
        <v>108</v>
      </c>
      <c r="D48" s="11">
        <v>2015</v>
      </c>
      <c r="E48" s="9" t="s">
        <v>46</v>
      </c>
      <c r="F48" s="12">
        <v>3404.93</v>
      </c>
      <c r="G48">
        <v>0.01</v>
      </c>
      <c r="H48" s="12">
        <v>2451.14</v>
      </c>
      <c r="I48">
        <v>172.96</v>
      </c>
      <c r="J48" s="12">
        <v>2506.44</v>
      </c>
      <c r="K48">
        <v>322.70999999999998</v>
      </c>
      <c r="L48">
        <v>199.81</v>
      </c>
      <c r="M48" s="11">
        <v>7</v>
      </c>
      <c r="N48" s="11">
        <v>4</v>
      </c>
      <c r="O48" s="13">
        <f t="shared" si="3"/>
        <v>0.5714285714285714</v>
      </c>
      <c r="P48" s="9" t="s">
        <v>43</v>
      </c>
      <c r="Q48" t="s">
        <v>111</v>
      </c>
      <c r="R48" s="14" t="str">
        <f t="shared" si="2"/>
        <v>Intellect Design Arena Ltd_2023</v>
      </c>
    </row>
    <row r="49" spans="1:18" ht="15" customHeight="1">
      <c r="A49" s="9" t="s">
        <v>106</v>
      </c>
      <c r="B49" s="9" t="s">
        <v>107</v>
      </c>
      <c r="C49" s="21" t="s">
        <v>108</v>
      </c>
      <c r="D49" s="11">
        <v>2015</v>
      </c>
      <c r="E49" s="9" t="s">
        <v>48</v>
      </c>
      <c r="F49" s="12">
        <v>3882.04</v>
      </c>
      <c r="G49">
        <v>0</v>
      </c>
      <c r="H49" s="12">
        <v>2816.85</v>
      </c>
      <c r="I49">
        <v>171.83</v>
      </c>
      <c r="J49" s="12">
        <v>2500</v>
      </c>
      <c r="K49">
        <v>334.42</v>
      </c>
      <c r="L49">
        <v>323.89999999999998</v>
      </c>
      <c r="M49" s="11">
        <v>6</v>
      </c>
      <c r="N49" s="11">
        <v>3</v>
      </c>
      <c r="O49" s="13">
        <f t="shared" si="3"/>
        <v>0.5</v>
      </c>
      <c r="P49" s="9" t="s">
        <v>43</v>
      </c>
      <c r="Q49" t="s">
        <v>112</v>
      </c>
      <c r="R49" s="14" t="str">
        <f t="shared" si="2"/>
        <v>Intellect Design Arena Ltd_2024</v>
      </c>
    </row>
    <row r="50" spans="1:18" ht="15" customHeight="1">
      <c r="A50" s="9" t="s">
        <v>113</v>
      </c>
      <c r="B50" s="9" t="s">
        <v>114</v>
      </c>
      <c r="C50" s="21" t="s">
        <v>108</v>
      </c>
      <c r="D50" s="11">
        <v>1993</v>
      </c>
      <c r="E50" s="9" t="s">
        <v>42</v>
      </c>
      <c r="F50">
        <v>736.94</v>
      </c>
      <c r="G50">
        <v>0</v>
      </c>
      <c r="H50">
        <v>493.6</v>
      </c>
      <c r="I50">
        <v>24.24</v>
      </c>
      <c r="J50">
        <v>497.19</v>
      </c>
      <c r="K50">
        <v>40.909999999999997</v>
      </c>
      <c r="L50">
        <v>35.75</v>
      </c>
      <c r="M50" s="11">
        <v>10</v>
      </c>
      <c r="N50" s="11">
        <v>5</v>
      </c>
      <c r="O50" s="13">
        <f t="shared" si="3"/>
        <v>0.5</v>
      </c>
      <c r="P50" s="9" t="s">
        <v>43</v>
      </c>
      <c r="Q50" t="s">
        <v>115</v>
      </c>
      <c r="R50" s="14" t="str">
        <f t="shared" si="2"/>
        <v>Nucleus Software Exports Ltd_2021</v>
      </c>
    </row>
    <row r="51" spans="1:18" ht="15" customHeight="1">
      <c r="A51" s="9" t="s">
        <v>113</v>
      </c>
      <c r="B51" s="9" t="s">
        <v>114</v>
      </c>
      <c r="C51" s="21" t="s">
        <v>108</v>
      </c>
      <c r="D51" s="11">
        <v>1993</v>
      </c>
      <c r="E51" s="9" t="s">
        <v>45</v>
      </c>
      <c r="F51">
        <v>874.18</v>
      </c>
      <c r="G51">
        <v>0</v>
      </c>
      <c r="H51">
        <v>610.66</v>
      </c>
      <c r="I51">
        <v>3.7</v>
      </c>
      <c r="J51">
        <v>634.46</v>
      </c>
      <c r="K51">
        <v>127.79</v>
      </c>
      <c r="L51">
        <v>50.49</v>
      </c>
      <c r="M51" s="11">
        <v>10</v>
      </c>
      <c r="N51" s="11">
        <v>5</v>
      </c>
      <c r="O51" s="13">
        <f t="shared" si="3"/>
        <v>0.5</v>
      </c>
      <c r="P51" s="9" t="s">
        <v>43</v>
      </c>
      <c r="Q51" s="19" t="s">
        <v>116</v>
      </c>
      <c r="R51" s="14" t="str">
        <f t="shared" si="2"/>
        <v>Nucleus Software Exports Ltd_2022</v>
      </c>
    </row>
    <row r="52" spans="1:18" ht="15" customHeight="1">
      <c r="A52" s="9" t="s">
        <v>113</v>
      </c>
      <c r="B52" s="9" t="s">
        <v>114</v>
      </c>
      <c r="C52" s="21" t="s">
        <v>108</v>
      </c>
      <c r="D52" s="11">
        <v>1993</v>
      </c>
      <c r="E52" s="9" t="s">
        <v>46</v>
      </c>
      <c r="F52" s="12">
        <v>1114.02</v>
      </c>
      <c r="G52">
        <v>0</v>
      </c>
      <c r="H52">
        <v>777.44</v>
      </c>
      <c r="I52">
        <v>28.64</v>
      </c>
      <c r="J52">
        <v>826.45</v>
      </c>
      <c r="K52">
        <v>191.6</v>
      </c>
      <c r="L52">
        <v>45.8</v>
      </c>
      <c r="M52" s="11">
        <v>12</v>
      </c>
      <c r="N52" s="11">
        <v>7</v>
      </c>
      <c r="O52" s="13">
        <f t="shared" si="3"/>
        <v>0.58333333333333337</v>
      </c>
      <c r="P52" s="9" t="s">
        <v>43</v>
      </c>
      <c r="Q52" t="s">
        <v>117</v>
      </c>
      <c r="R52" s="14" t="str">
        <f t="shared" si="2"/>
        <v>Nucleus Software Exports Ltd_2023</v>
      </c>
    </row>
    <row r="53" spans="1:18" ht="15" customHeight="1">
      <c r="A53" s="9" t="s">
        <v>113</v>
      </c>
      <c r="B53" s="9" t="s">
        <v>114</v>
      </c>
      <c r="C53" s="21" t="s">
        <v>108</v>
      </c>
      <c r="D53" s="11">
        <v>1993</v>
      </c>
      <c r="E53" s="9" t="s">
        <v>48</v>
      </c>
      <c r="F53" s="12">
        <v>1152.95</v>
      </c>
      <c r="G53">
        <v>0</v>
      </c>
      <c r="H53">
        <v>814.22</v>
      </c>
      <c r="I53">
        <v>15.22</v>
      </c>
      <c r="J53">
        <v>832.25</v>
      </c>
      <c r="K53">
        <v>163</v>
      </c>
      <c r="L53">
        <v>50.46</v>
      </c>
      <c r="M53" s="11">
        <v>8</v>
      </c>
      <c r="N53" s="11">
        <v>4</v>
      </c>
      <c r="O53" s="13">
        <f t="shared" si="3"/>
        <v>0.5</v>
      </c>
      <c r="P53" s="9" t="s">
        <v>43</v>
      </c>
      <c r="Q53" t="s">
        <v>118</v>
      </c>
      <c r="R53" s="14" t="str">
        <f t="shared" si="2"/>
        <v>Nucleus Software Exports Ltd_2024</v>
      </c>
    </row>
    <row r="54" spans="1:18" ht="15" customHeight="1">
      <c r="A54" s="9" t="s">
        <v>119</v>
      </c>
      <c r="B54" s="9" t="s">
        <v>120</v>
      </c>
      <c r="C54" s="21" t="s">
        <v>108</v>
      </c>
      <c r="D54" s="11">
        <v>2003</v>
      </c>
      <c r="E54" s="9" t="s">
        <v>42</v>
      </c>
      <c r="F54" s="12">
        <v>8734.73</v>
      </c>
      <c r="G54">
        <v>0</v>
      </c>
      <c r="H54" s="12">
        <v>7099.69</v>
      </c>
      <c r="I54">
        <v>34.64</v>
      </c>
      <c r="J54" s="12">
        <v>5221.46</v>
      </c>
      <c r="K54" s="12">
        <v>1888.83</v>
      </c>
      <c r="L54" s="12">
        <v>1679.97</v>
      </c>
      <c r="M54" s="11">
        <v>10</v>
      </c>
      <c r="N54" s="11">
        <v>4</v>
      </c>
      <c r="O54" s="13">
        <f t="shared" si="3"/>
        <v>0.4</v>
      </c>
      <c r="P54" s="9" t="s">
        <v>43</v>
      </c>
      <c r="Q54" t="s">
        <v>121</v>
      </c>
      <c r="R54" s="14" t="str">
        <f t="shared" si="2"/>
        <v>Oracle Financial Services Software Ltd_2021</v>
      </c>
    </row>
    <row r="55" spans="1:18" ht="15" customHeight="1">
      <c r="A55" s="9" t="s">
        <v>119</v>
      </c>
      <c r="B55" s="9" t="s">
        <v>120</v>
      </c>
      <c r="C55" s="21" t="s">
        <v>108</v>
      </c>
      <c r="D55" s="11">
        <v>2003</v>
      </c>
      <c r="E55" s="9" t="s">
        <v>45</v>
      </c>
      <c r="F55" s="12">
        <v>9275.5400000000009</v>
      </c>
      <c r="G55">
        <v>0</v>
      </c>
      <c r="H55" s="12">
        <v>7458.91</v>
      </c>
      <c r="I55">
        <v>40.96</v>
      </c>
      <c r="J55" s="12">
        <v>5698.31</v>
      </c>
      <c r="K55" s="12">
        <v>1806.14</v>
      </c>
      <c r="L55" s="12">
        <v>2040.08</v>
      </c>
      <c r="M55" s="11">
        <v>10</v>
      </c>
      <c r="N55" s="11">
        <v>4</v>
      </c>
      <c r="O55" s="13">
        <f t="shared" si="3"/>
        <v>0.4</v>
      </c>
      <c r="P55" s="9" t="s">
        <v>43</v>
      </c>
      <c r="Q55" s="22" t="s">
        <v>122</v>
      </c>
      <c r="R55" s="14" t="str">
        <f t="shared" si="2"/>
        <v>Oracle Financial Services Software Ltd_2022</v>
      </c>
    </row>
    <row r="56" spans="1:18" ht="15" customHeight="1">
      <c r="A56" s="9" t="s">
        <v>119</v>
      </c>
      <c r="B56" s="9" t="s">
        <v>120</v>
      </c>
      <c r="C56" s="21" t="s">
        <v>108</v>
      </c>
      <c r="D56" s="11">
        <v>2003</v>
      </c>
      <c r="E56" s="9" t="s">
        <v>46</v>
      </c>
      <c r="F56" s="12">
        <v>9935.74</v>
      </c>
      <c r="G56">
        <v>0</v>
      </c>
      <c r="H56" s="12">
        <v>7858.84</v>
      </c>
      <c r="I56">
        <v>29</v>
      </c>
      <c r="J56" s="12">
        <v>6372.96</v>
      </c>
      <c r="K56" s="12">
        <v>2219.36</v>
      </c>
      <c r="L56" s="12">
        <v>3483.26</v>
      </c>
      <c r="M56" s="11">
        <v>11</v>
      </c>
      <c r="N56" s="11">
        <v>5</v>
      </c>
      <c r="O56" s="13">
        <f t="shared" si="3"/>
        <v>0.45454545454545453</v>
      </c>
      <c r="P56" s="9" t="s">
        <v>43</v>
      </c>
      <c r="Q56" t="s">
        <v>123</v>
      </c>
      <c r="R56" s="14" t="str">
        <f t="shared" si="2"/>
        <v>Oracle Financial Services Software Ltd_2023</v>
      </c>
    </row>
    <row r="57" spans="1:18" ht="15" customHeight="1">
      <c r="A57" s="9" t="s">
        <v>119</v>
      </c>
      <c r="B57" s="9" t="s">
        <v>120</v>
      </c>
      <c r="C57" s="21" t="s">
        <v>108</v>
      </c>
      <c r="D57" s="11">
        <v>2003</v>
      </c>
      <c r="E57" s="9" t="s">
        <v>48</v>
      </c>
      <c r="F57" s="12">
        <v>10135</v>
      </c>
      <c r="G57">
        <v>0</v>
      </c>
      <c r="H57" s="12">
        <v>8362.4</v>
      </c>
      <c r="I57">
        <v>28.8</v>
      </c>
      <c r="J57" s="12">
        <v>6846.8</v>
      </c>
      <c r="K57" s="12">
        <v>2379.6</v>
      </c>
      <c r="L57" s="12">
        <v>1214.2</v>
      </c>
      <c r="M57" s="11">
        <v>10</v>
      </c>
      <c r="N57" s="11">
        <v>4</v>
      </c>
      <c r="O57" s="13">
        <f t="shared" si="3"/>
        <v>0.4</v>
      </c>
      <c r="P57" s="9" t="s">
        <v>43</v>
      </c>
      <c r="Q57" t="s">
        <v>124</v>
      </c>
      <c r="R57" s="14" t="str">
        <f t="shared" si="2"/>
        <v>Oracle Financial Services Software Ltd_2024</v>
      </c>
    </row>
    <row r="58" spans="1:18" ht="15" customHeight="1">
      <c r="A58" s="9" t="s">
        <v>125</v>
      </c>
      <c r="B58" s="9" t="s">
        <v>126</v>
      </c>
      <c r="C58" s="21" t="s">
        <v>108</v>
      </c>
      <c r="D58" s="11">
        <v>1995</v>
      </c>
      <c r="E58" s="9" t="s">
        <v>42</v>
      </c>
      <c r="F58" s="12">
        <v>3345.68</v>
      </c>
      <c r="G58">
        <v>0</v>
      </c>
      <c r="H58" s="12">
        <v>3055.05</v>
      </c>
      <c r="I58">
        <v>48.48</v>
      </c>
      <c r="J58">
        <v>160.22</v>
      </c>
      <c r="K58">
        <v>-63.44</v>
      </c>
      <c r="L58">
        <v>164.54</v>
      </c>
      <c r="M58" s="11">
        <v>14</v>
      </c>
      <c r="N58" s="11">
        <v>5</v>
      </c>
      <c r="O58" s="13">
        <f t="shared" si="3"/>
        <v>0.35714285714285715</v>
      </c>
      <c r="P58" s="9" t="s">
        <v>43</v>
      </c>
      <c r="Q58" t="s">
        <v>127</v>
      </c>
      <c r="R58" s="14" t="str">
        <f t="shared" si="2"/>
        <v>63 Moons Technologies Ltd_2021</v>
      </c>
    </row>
    <row r="59" spans="1:18" ht="15" customHeight="1">
      <c r="A59" s="9" t="s">
        <v>125</v>
      </c>
      <c r="B59" s="9" t="s">
        <v>126</v>
      </c>
      <c r="C59" s="21" t="s">
        <v>108</v>
      </c>
      <c r="D59" s="11">
        <v>1995</v>
      </c>
      <c r="E59" s="9" t="s">
        <v>45</v>
      </c>
      <c r="F59" s="12">
        <v>3368.33</v>
      </c>
      <c r="G59">
        <v>0</v>
      </c>
      <c r="H59" s="12">
        <v>3077.24</v>
      </c>
      <c r="I59">
        <v>26.47</v>
      </c>
      <c r="J59">
        <v>160.26</v>
      </c>
      <c r="K59">
        <v>-53.17</v>
      </c>
      <c r="L59">
        <v>232.01</v>
      </c>
      <c r="M59" s="11">
        <v>9</v>
      </c>
      <c r="N59" s="11">
        <v>4</v>
      </c>
      <c r="O59" s="13">
        <f t="shared" si="3"/>
        <v>0.44444444444444442</v>
      </c>
      <c r="P59" s="9" t="s">
        <v>43</v>
      </c>
      <c r="Q59" t="s">
        <v>128</v>
      </c>
      <c r="R59" s="14" t="str">
        <f t="shared" si="2"/>
        <v>63 Moons Technologies Ltd_2022</v>
      </c>
    </row>
    <row r="60" spans="1:18" ht="15" customHeight="1">
      <c r="A60" s="9" t="s">
        <v>125</v>
      </c>
      <c r="B60" s="9" t="s">
        <v>126</v>
      </c>
      <c r="C60" s="21" t="s">
        <v>108</v>
      </c>
      <c r="D60" s="11">
        <v>1995</v>
      </c>
      <c r="E60" s="9" t="s">
        <v>46</v>
      </c>
      <c r="F60" s="12">
        <v>3465.85</v>
      </c>
      <c r="G60">
        <v>0</v>
      </c>
      <c r="H60" s="12">
        <v>3090.51</v>
      </c>
      <c r="I60">
        <v>19.649999999999999</v>
      </c>
      <c r="J60">
        <v>290.07</v>
      </c>
      <c r="K60">
        <v>-16.309999999999999</v>
      </c>
      <c r="L60">
        <v>211.69</v>
      </c>
      <c r="M60" s="11">
        <v>9</v>
      </c>
      <c r="N60" s="11">
        <v>4</v>
      </c>
      <c r="O60" s="13">
        <f t="shared" si="3"/>
        <v>0.44444444444444442</v>
      </c>
      <c r="P60" s="9" t="s">
        <v>43</v>
      </c>
      <c r="Q60" t="s">
        <v>129</v>
      </c>
      <c r="R60" s="14" t="str">
        <f t="shared" si="2"/>
        <v>63 Moons Technologies Ltd_2023</v>
      </c>
    </row>
    <row r="61" spans="1:18" ht="15" customHeight="1">
      <c r="A61" s="9" t="s">
        <v>125</v>
      </c>
      <c r="B61" s="9" t="s">
        <v>126</v>
      </c>
      <c r="C61" s="21" t="s">
        <v>108</v>
      </c>
      <c r="D61" s="11">
        <v>1995</v>
      </c>
      <c r="E61" s="9" t="s">
        <v>48</v>
      </c>
      <c r="F61" s="12">
        <v>3645.3</v>
      </c>
      <c r="G61">
        <v>0</v>
      </c>
      <c r="H61" s="12">
        <v>3318.11</v>
      </c>
      <c r="I61">
        <v>5.49</v>
      </c>
      <c r="J61">
        <v>472.11</v>
      </c>
      <c r="K61">
        <v>222.51</v>
      </c>
      <c r="L61">
        <v>60.64</v>
      </c>
      <c r="M61" s="11">
        <v>8</v>
      </c>
      <c r="N61" s="11">
        <v>3</v>
      </c>
      <c r="O61" s="13">
        <f t="shared" si="3"/>
        <v>0.375</v>
      </c>
      <c r="P61" s="9" t="s">
        <v>43</v>
      </c>
      <c r="Q61" t="s">
        <v>130</v>
      </c>
      <c r="R61" s="14" t="str">
        <f t="shared" si="2"/>
        <v>63 Moons Technologies Ltd_2024</v>
      </c>
    </row>
    <row r="62" spans="1:18" ht="15" customHeight="1">
      <c r="A62" s="9" t="s">
        <v>131</v>
      </c>
      <c r="B62" s="9" t="s">
        <v>132</v>
      </c>
      <c r="C62" s="10" t="s">
        <v>41</v>
      </c>
      <c r="D62" s="11">
        <v>2020</v>
      </c>
      <c r="E62" s="9" t="s">
        <v>42</v>
      </c>
      <c r="F62" s="12">
        <v>1022.09</v>
      </c>
      <c r="G62">
        <v>3.97</v>
      </c>
      <c r="H62">
        <v>649.46</v>
      </c>
      <c r="I62">
        <v>7.66</v>
      </c>
      <c r="J62" s="12">
        <v>1406.17</v>
      </c>
      <c r="K62">
        <v>132.75</v>
      </c>
      <c r="L62">
        <v>269.99</v>
      </c>
      <c r="M62" s="11">
        <v>7</v>
      </c>
      <c r="N62" s="11">
        <v>4</v>
      </c>
      <c r="O62" s="13">
        <f t="shared" si="3"/>
        <v>0.5714285714285714</v>
      </c>
      <c r="P62" s="9" t="s">
        <v>43</v>
      </c>
      <c r="Q62" t="s">
        <v>133</v>
      </c>
      <c r="R62" s="14" t="str">
        <f t="shared" si="2"/>
        <v>Route Mobile Ltd_2021</v>
      </c>
    </row>
    <row r="63" spans="1:18" ht="15" customHeight="1">
      <c r="A63" s="9" t="s">
        <v>131</v>
      </c>
      <c r="B63" s="9" t="s">
        <v>132</v>
      </c>
      <c r="C63" s="10" t="s">
        <v>41</v>
      </c>
      <c r="D63" s="11">
        <v>2020</v>
      </c>
      <c r="E63" s="9" t="s">
        <v>45</v>
      </c>
      <c r="F63" s="12">
        <v>2658.73</v>
      </c>
      <c r="G63">
        <v>0</v>
      </c>
      <c r="H63" s="12">
        <v>1674.62</v>
      </c>
      <c r="I63">
        <v>17.079999999999998</v>
      </c>
      <c r="J63" s="12">
        <v>2002.03</v>
      </c>
      <c r="K63">
        <v>170.08</v>
      </c>
      <c r="L63">
        <v>407.33</v>
      </c>
      <c r="M63" s="11">
        <v>7</v>
      </c>
      <c r="N63" s="11">
        <v>4</v>
      </c>
      <c r="O63" s="13">
        <f t="shared" si="3"/>
        <v>0.5714285714285714</v>
      </c>
      <c r="P63" s="9" t="s">
        <v>43</v>
      </c>
      <c r="Q63" t="s">
        <v>134</v>
      </c>
      <c r="R63" s="14" t="str">
        <f t="shared" si="2"/>
        <v>Route Mobile Ltd_2022</v>
      </c>
    </row>
    <row r="64" spans="1:18" ht="15" customHeight="1">
      <c r="A64" s="9" t="s">
        <v>131</v>
      </c>
      <c r="B64" s="9" t="s">
        <v>132</v>
      </c>
      <c r="C64" s="10" t="s">
        <v>41</v>
      </c>
      <c r="D64" s="11">
        <v>2020</v>
      </c>
      <c r="E64" s="9" t="s">
        <v>46</v>
      </c>
      <c r="F64" s="12">
        <v>2885.33</v>
      </c>
      <c r="G64">
        <v>106.15</v>
      </c>
      <c r="H64" s="12">
        <v>1828.39</v>
      </c>
      <c r="I64">
        <v>38.06</v>
      </c>
      <c r="J64" s="12">
        <v>3569.23</v>
      </c>
      <c r="K64">
        <v>333.11</v>
      </c>
      <c r="L64">
        <v>483.61</v>
      </c>
      <c r="M64" s="11">
        <v>7</v>
      </c>
      <c r="N64" s="11">
        <v>4</v>
      </c>
      <c r="O64" s="13">
        <f t="shared" si="3"/>
        <v>0.5714285714285714</v>
      </c>
      <c r="P64" s="9" t="s">
        <v>43</v>
      </c>
      <c r="Q64" t="s">
        <v>135</v>
      </c>
      <c r="R64" s="14" t="str">
        <f t="shared" si="2"/>
        <v>Route Mobile Ltd_2023</v>
      </c>
    </row>
    <row r="65" spans="1:18" ht="15" customHeight="1">
      <c r="A65" s="9" t="s">
        <v>131</v>
      </c>
      <c r="B65" s="9" t="s">
        <v>132</v>
      </c>
      <c r="C65" s="10" t="s">
        <v>41</v>
      </c>
      <c r="D65" s="11">
        <v>2020</v>
      </c>
      <c r="E65" s="9" t="s">
        <v>48</v>
      </c>
      <c r="F65" s="12">
        <v>3471.94</v>
      </c>
      <c r="G65">
        <v>349.64</v>
      </c>
      <c r="H65" s="12">
        <v>2170.84</v>
      </c>
      <c r="I65">
        <v>35.61</v>
      </c>
      <c r="J65" s="12">
        <v>4023.29</v>
      </c>
      <c r="K65">
        <v>388.84</v>
      </c>
      <c r="L65">
        <v>542.25</v>
      </c>
      <c r="M65" s="11">
        <v>7</v>
      </c>
      <c r="N65" s="11">
        <v>4</v>
      </c>
      <c r="O65" s="13">
        <f t="shared" si="3"/>
        <v>0.5714285714285714</v>
      </c>
      <c r="P65" s="9" t="s">
        <v>43</v>
      </c>
      <c r="Q65" t="s">
        <v>136</v>
      </c>
      <c r="R65" s="14" t="str">
        <f t="shared" si="2"/>
        <v>Route Mobile Ltd_2024</v>
      </c>
    </row>
    <row r="66" spans="1:18" ht="15" customHeight="1">
      <c r="A66" s="9" t="s">
        <v>137</v>
      </c>
      <c r="B66" s="9" t="s">
        <v>138</v>
      </c>
      <c r="C66" s="20" t="s">
        <v>76</v>
      </c>
      <c r="D66" s="11">
        <v>2005</v>
      </c>
      <c r="E66" s="9" t="s">
        <v>42</v>
      </c>
      <c r="F66" s="12">
        <v>3544.13</v>
      </c>
      <c r="G66">
        <v>291.58999999999997</v>
      </c>
      <c r="H66">
        <v>967.58</v>
      </c>
      <c r="I66">
        <v>152.52000000000001</v>
      </c>
      <c r="J66">
        <v>790.85</v>
      </c>
      <c r="K66">
        <v>220.31</v>
      </c>
      <c r="L66">
        <v>278.06</v>
      </c>
      <c r="M66" s="11">
        <v>6</v>
      </c>
      <c r="N66" s="11">
        <v>4</v>
      </c>
      <c r="O66" s="13">
        <f t="shared" si="3"/>
        <v>0.66666666666666663</v>
      </c>
      <c r="P66" s="9" t="s">
        <v>43</v>
      </c>
      <c r="Q66" t="s">
        <v>139</v>
      </c>
      <c r="R66" s="14" t="str">
        <f t="shared" ref="R66:R101" si="4">A66&amp;"_"&amp;MID(E66,3,4)</f>
        <v>IIFL Securities Ltd_2021</v>
      </c>
    </row>
    <row r="67" spans="1:18" ht="15" customHeight="1">
      <c r="A67" s="9" t="s">
        <v>137</v>
      </c>
      <c r="B67" s="9" t="s">
        <v>138</v>
      </c>
      <c r="C67" s="20" t="s">
        <v>76</v>
      </c>
      <c r="D67" s="11">
        <v>2005</v>
      </c>
      <c r="E67" s="9" t="s">
        <v>45</v>
      </c>
      <c r="F67" s="12">
        <v>6041.05</v>
      </c>
      <c r="G67">
        <v>607.04</v>
      </c>
      <c r="H67" s="12">
        <v>1181.79</v>
      </c>
      <c r="I67">
        <v>17.829999999999998</v>
      </c>
      <c r="J67" s="12">
        <v>1232.33</v>
      </c>
      <c r="K67">
        <v>305.83</v>
      </c>
      <c r="L67" s="12">
        <v>1094.83</v>
      </c>
      <c r="M67" s="11">
        <v>6</v>
      </c>
      <c r="N67" s="11">
        <v>4</v>
      </c>
      <c r="O67" s="13">
        <f t="shared" ref="O67:O98" si="5">IFERROR(N67/M67,"")</f>
        <v>0.66666666666666663</v>
      </c>
      <c r="P67" s="9" t="s">
        <v>43</v>
      </c>
      <c r="Q67" t="s">
        <v>140</v>
      </c>
      <c r="R67" s="14" t="str">
        <f t="shared" si="4"/>
        <v>IIFL Securities Ltd_2022</v>
      </c>
    </row>
    <row r="68" spans="1:18" ht="15" customHeight="1">
      <c r="A68" s="9" t="s">
        <v>137</v>
      </c>
      <c r="B68" s="9" t="s">
        <v>138</v>
      </c>
      <c r="C68" s="20" t="s">
        <v>76</v>
      </c>
      <c r="D68" s="11">
        <v>2005</v>
      </c>
      <c r="E68" s="9" t="s">
        <v>46</v>
      </c>
      <c r="F68" s="12">
        <v>5237.3999999999996</v>
      </c>
      <c r="G68">
        <v>485.84</v>
      </c>
      <c r="H68" s="12">
        <v>1349.75</v>
      </c>
      <c r="I68">
        <v>13.16</v>
      </c>
      <c r="J68" s="12">
        <v>1352.08</v>
      </c>
      <c r="K68">
        <v>249.81</v>
      </c>
      <c r="L68">
        <v>169.44</v>
      </c>
      <c r="M68" s="11">
        <v>6</v>
      </c>
      <c r="N68" s="11">
        <v>4</v>
      </c>
      <c r="O68" s="13">
        <f t="shared" si="5"/>
        <v>0.66666666666666663</v>
      </c>
      <c r="P68" s="9" t="s">
        <v>43</v>
      </c>
      <c r="Q68" s="23"/>
      <c r="R68" s="14" t="str">
        <f t="shared" si="4"/>
        <v>IIFL Securities Ltd_2023</v>
      </c>
    </row>
    <row r="69" spans="1:18" ht="15" customHeight="1">
      <c r="A69" s="9" t="s">
        <v>137</v>
      </c>
      <c r="B69" s="9" t="s">
        <v>138</v>
      </c>
      <c r="C69" s="20" t="s">
        <v>76</v>
      </c>
      <c r="D69" s="11">
        <v>2005</v>
      </c>
      <c r="E69" s="9" t="s">
        <v>48</v>
      </c>
      <c r="F69" s="12">
        <v>7874.74</v>
      </c>
      <c r="G69" s="12">
        <v>1153.8499999999999</v>
      </c>
      <c r="H69" s="12">
        <v>1788.35</v>
      </c>
      <c r="I69">
        <v>31.19</v>
      </c>
      <c r="J69" s="12">
        <v>2161.2800000000002</v>
      </c>
      <c r="K69">
        <v>513.35</v>
      </c>
      <c r="L69">
        <v>408.28</v>
      </c>
      <c r="M69" s="11">
        <v>7</v>
      </c>
      <c r="N69" s="11">
        <v>4</v>
      </c>
      <c r="O69" s="13">
        <f t="shared" si="5"/>
        <v>0.5714285714285714</v>
      </c>
      <c r="P69" s="9" t="s">
        <v>43</v>
      </c>
      <c r="Q69" t="s">
        <v>141</v>
      </c>
      <c r="R69" s="14" t="str">
        <f t="shared" si="4"/>
        <v>IIFL Securities Ltd_2024</v>
      </c>
    </row>
    <row r="70" spans="1:18" ht="15" customHeight="1">
      <c r="A70" s="9" t="s">
        <v>142</v>
      </c>
      <c r="B70" s="9" t="s">
        <v>143</v>
      </c>
      <c r="C70" s="20" t="s">
        <v>76</v>
      </c>
      <c r="D70" s="11">
        <v>2007</v>
      </c>
      <c r="E70" s="9" t="s">
        <v>42</v>
      </c>
      <c r="F70" s="12">
        <v>14116.86</v>
      </c>
      <c r="G70" s="12">
        <v>5692.84</v>
      </c>
      <c r="H70" s="12">
        <v>4487.76</v>
      </c>
      <c r="I70">
        <v>64.67</v>
      </c>
      <c r="J70" s="12">
        <v>3634.12</v>
      </c>
      <c r="K70" s="12">
        <v>1245.45</v>
      </c>
      <c r="L70" s="12">
        <v>1292.02</v>
      </c>
      <c r="M70" s="11">
        <v>10</v>
      </c>
      <c r="N70" s="11">
        <v>5</v>
      </c>
      <c r="O70" s="13">
        <f t="shared" si="5"/>
        <v>0.5</v>
      </c>
      <c r="P70" s="9" t="s">
        <v>43</v>
      </c>
      <c r="Q70" s="19" t="s">
        <v>144</v>
      </c>
      <c r="R70" s="14" t="str">
        <f t="shared" si="4"/>
        <v>Motilal Oswal Financial Services Ltd_2021</v>
      </c>
    </row>
    <row r="71" spans="1:18" ht="15" customHeight="1">
      <c r="A71" s="9" t="s">
        <v>142</v>
      </c>
      <c r="B71" s="9" t="s">
        <v>143</v>
      </c>
      <c r="C71" s="20" t="s">
        <v>76</v>
      </c>
      <c r="D71" s="11">
        <v>2007</v>
      </c>
      <c r="E71" s="9" t="s">
        <v>45</v>
      </c>
      <c r="F71" s="12">
        <v>16923.34</v>
      </c>
      <c r="G71" s="12">
        <v>6151.51</v>
      </c>
      <c r="H71" s="12">
        <v>5700.65</v>
      </c>
      <c r="I71">
        <v>54.54</v>
      </c>
      <c r="J71" s="12">
        <v>4316.41</v>
      </c>
      <c r="K71" s="12">
        <v>1309.78</v>
      </c>
      <c r="L71" s="12">
        <v>2137.54</v>
      </c>
      <c r="M71" s="11">
        <v>10</v>
      </c>
      <c r="N71" s="11">
        <v>5</v>
      </c>
      <c r="O71" s="13">
        <f t="shared" si="5"/>
        <v>0.5</v>
      </c>
      <c r="P71" s="9" t="s">
        <v>43</v>
      </c>
      <c r="Q71" t="s">
        <v>145</v>
      </c>
      <c r="R71" s="14" t="str">
        <f t="shared" si="4"/>
        <v>Motilal Oswal Financial Services Ltd_2022</v>
      </c>
    </row>
    <row r="72" spans="1:18" ht="15" customHeight="1">
      <c r="A72" s="9" t="s">
        <v>142</v>
      </c>
      <c r="B72" s="9" t="s">
        <v>143</v>
      </c>
      <c r="C72" s="20" t="s">
        <v>76</v>
      </c>
      <c r="D72" s="11">
        <v>2007</v>
      </c>
      <c r="E72" s="9" t="s">
        <v>46</v>
      </c>
      <c r="F72" s="12">
        <v>23009.94</v>
      </c>
      <c r="G72" s="12">
        <v>10275.92</v>
      </c>
      <c r="H72" s="12">
        <v>6283.18</v>
      </c>
      <c r="I72">
        <v>167.54</v>
      </c>
      <c r="J72" s="12">
        <v>4197.12</v>
      </c>
      <c r="K72">
        <v>931.69</v>
      </c>
      <c r="L72" s="12">
        <v>2576.31</v>
      </c>
      <c r="M72" s="11">
        <v>10</v>
      </c>
      <c r="N72" s="11">
        <v>5</v>
      </c>
      <c r="O72" s="13">
        <f t="shared" si="5"/>
        <v>0.5</v>
      </c>
      <c r="P72" s="9" t="s">
        <v>43</v>
      </c>
      <c r="Q72" t="s">
        <v>146</v>
      </c>
      <c r="R72" s="14" t="str">
        <f t="shared" si="4"/>
        <v>Motilal Oswal Financial Services Ltd_2023</v>
      </c>
    </row>
    <row r="73" spans="1:18" ht="15" customHeight="1">
      <c r="A73" s="9" t="s">
        <v>142</v>
      </c>
      <c r="B73" s="9" t="s">
        <v>143</v>
      </c>
      <c r="C73" s="20" t="s">
        <v>76</v>
      </c>
      <c r="D73" s="11">
        <v>2007</v>
      </c>
      <c r="E73" s="9" t="s">
        <v>48</v>
      </c>
      <c r="F73" s="12">
        <v>31829.21</v>
      </c>
      <c r="G73" s="12">
        <v>13745.61</v>
      </c>
      <c r="H73" s="12">
        <v>8768.74</v>
      </c>
      <c r="I73">
        <v>150.77000000000001</v>
      </c>
      <c r="J73" s="12">
        <v>7130.52</v>
      </c>
      <c r="K73" s="12">
        <v>2441.06</v>
      </c>
      <c r="L73" s="12">
        <v>5285.67</v>
      </c>
      <c r="M73" s="11">
        <v>10</v>
      </c>
      <c r="N73" s="11">
        <v>5</v>
      </c>
      <c r="O73" s="13">
        <f t="shared" si="5"/>
        <v>0.5</v>
      </c>
      <c r="P73" s="9" t="s">
        <v>43</v>
      </c>
      <c r="Q73" t="s">
        <v>147</v>
      </c>
      <c r="R73" s="14" t="str">
        <f t="shared" si="4"/>
        <v>Motilal Oswal Financial Services Ltd_2024</v>
      </c>
    </row>
    <row r="74" spans="1:18" ht="15" customHeight="1">
      <c r="A74" s="9" t="s">
        <v>148</v>
      </c>
      <c r="B74" s="9" t="s">
        <v>149</v>
      </c>
      <c r="C74" s="24" t="s">
        <v>150</v>
      </c>
      <c r="D74" s="11">
        <v>1995</v>
      </c>
      <c r="E74" s="9" t="s">
        <v>42</v>
      </c>
      <c r="F74" s="12">
        <v>1167.53</v>
      </c>
      <c r="G74">
        <v>15</v>
      </c>
      <c r="H74">
        <v>658.66</v>
      </c>
      <c r="I74">
        <v>7.58</v>
      </c>
      <c r="J74">
        <v>424.99</v>
      </c>
      <c r="K74">
        <v>126.51</v>
      </c>
      <c r="L74">
        <v>73.11</v>
      </c>
      <c r="M74" s="11">
        <v>10</v>
      </c>
      <c r="N74" s="11">
        <v>5</v>
      </c>
      <c r="O74" s="13">
        <f t="shared" si="5"/>
        <v>0.5</v>
      </c>
      <c r="P74" s="9" t="s">
        <v>43</v>
      </c>
      <c r="Q74" t="s">
        <v>151</v>
      </c>
      <c r="R74" s="14" t="str">
        <f t="shared" si="4"/>
        <v>Geojit Financial Services Ltd_2021</v>
      </c>
    </row>
    <row r="75" spans="1:18" ht="15" customHeight="1">
      <c r="A75" s="9" t="s">
        <v>148</v>
      </c>
      <c r="B75" s="9" t="s">
        <v>149</v>
      </c>
      <c r="C75" s="24" t="s">
        <v>150</v>
      </c>
      <c r="D75" s="11">
        <v>1995</v>
      </c>
      <c r="E75" s="9" t="s">
        <v>45</v>
      </c>
      <c r="F75" s="12">
        <v>1415.5</v>
      </c>
      <c r="G75">
        <v>48.25</v>
      </c>
      <c r="H75">
        <v>767.72</v>
      </c>
      <c r="I75">
        <v>20.37</v>
      </c>
      <c r="J75">
        <v>500.29</v>
      </c>
      <c r="K75">
        <v>154.41999999999999</v>
      </c>
      <c r="L75">
        <v>115.31</v>
      </c>
      <c r="M75" s="11">
        <v>13</v>
      </c>
      <c r="N75" s="11">
        <v>7</v>
      </c>
      <c r="O75" s="13">
        <f t="shared" si="5"/>
        <v>0.53846153846153844</v>
      </c>
      <c r="P75" s="9" t="s">
        <v>43</v>
      </c>
      <c r="Q75" t="s">
        <v>152</v>
      </c>
      <c r="R75" s="14" t="str">
        <f t="shared" si="4"/>
        <v>Geojit Financial Services Ltd_2022</v>
      </c>
    </row>
    <row r="76" spans="1:18" ht="15" customHeight="1">
      <c r="A76" s="9" t="s">
        <v>148</v>
      </c>
      <c r="B76" s="9" t="s">
        <v>149</v>
      </c>
      <c r="C76" s="24" t="s">
        <v>150</v>
      </c>
      <c r="D76" s="11">
        <v>1995</v>
      </c>
      <c r="E76" s="9" t="s">
        <v>46</v>
      </c>
      <c r="F76" s="12">
        <v>1321.28</v>
      </c>
      <c r="G76">
        <v>77.52</v>
      </c>
      <c r="H76">
        <v>797.54</v>
      </c>
      <c r="I76">
        <v>22.72</v>
      </c>
      <c r="J76">
        <v>439.29</v>
      </c>
      <c r="K76">
        <v>100.96</v>
      </c>
      <c r="L76">
        <v>76.09</v>
      </c>
      <c r="M76" s="11">
        <v>13</v>
      </c>
      <c r="N76" s="11">
        <v>7</v>
      </c>
      <c r="O76" s="13">
        <f t="shared" si="5"/>
        <v>0.53846153846153844</v>
      </c>
      <c r="P76" s="9" t="s">
        <v>43</v>
      </c>
      <c r="Q76" s="19" t="s">
        <v>153</v>
      </c>
      <c r="R76" s="14" t="str">
        <f t="shared" si="4"/>
        <v>Geojit Financial Services Ltd_2023</v>
      </c>
    </row>
    <row r="77" spans="1:18" ht="15" customHeight="1">
      <c r="A77" s="9" t="s">
        <v>148</v>
      </c>
      <c r="B77" s="9" t="s">
        <v>149</v>
      </c>
      <c r="C77" s="24" t="s">
        <v>150</v>
      </c>
      <c r="D77" s="11">
        <v>1995</v>
      </c>
      <c r="E77" s="9" t="s">
        <v>48</v>
      </c>
      <c r="F77" s="12">
        <v>2020.29</v>
      </c>
      <c r="G77">
        <v>350.22</v>
      </c>
      <c r="H77">
        <v>911.55</v>
      </c>
      <c r="I77">
        <v>19.37</v>
      </c>
      <c r="J77">
        <v>614.13</v>
      </c>
      <c r="K77">
        <v>149.38</v>
      </c>
      <c r="L77">
        <v>147.19</v>
      </c>
      <c r="M77" s="11">
        <v>13</v>
      </c>
      <c r="N77" s="11">
        <v>7</v>
      </c>
      <c r="O77" s="13">
        <f t="shared" si="5"/>
        <v>0.53846153846153844</v>
      </c>
      <c r="P77" s="9" t="s">
        <v>43</v>
      </c>
      <c r="Q77" t="s">
        <v>154</v>
      </c>
      <c r="R77" s="14" t="str">
        <f t="shared" si="4"/>
        <v>Geojit Financial Services Ltd_2024</v>
      </c>
    </row>
    <row r="78" spans="1:18" ht="15" customHeight="1">
      <c r="A78" s="9" t="s">
        <v>155</v>
      </c>
      <c r="B78" s="9" t="s">
        <v>156</v>
      </c>
      <c r="C78" s="20" t="s">
        <v>76</v>
      </c>
      <c r="D78" s="11">
        <v>2021</v>
      </c>
      <c r="E78" s="9" t="s">
        <v>42</v>
      </c>
      <c r="F78">
        <v>339.75</v>
      </c>
      <c r="G78">
        <v>33.36</v>
      </c>
      <c r="H78">
        <v>253.17</v>
      </c>
      <c r="I78">
        <v>4.0599999999999996</v>
      </c>
      <c r="J78">
        <v>265.33</v>
      </c>
      <c r="K78">
        <v>44.62</v>
      </c>
      <c r="L78">
        <v>65.319999999999993</v>
      </c>
      <c r="M78" s="11">
        <v>8</v>
      </c>
      <c r="N78" s="11">
        <v>4</v>
      </c>
      <c r="O78" s="13">
        <f t="shared" si="5"/>
        <v>0.5</v>
      </c>
      <c r="P78" s="9" t="s">
        <v>43</v>
      </c>
      <c r="Q78" t="s">
        <v>157</v>
      </c>
      <c r="R78" s="14" t="str">
        <f t="shared" si="4"/>
        <v>Anand Rathi Wealth Ltd_2021</v>
      </c>
    </row>
    <row r="79" spans="1:18" ht="15" customHeight="1">
      <c r="A79" s="9" t="s">
        <v>155</v>
      </c>
      <c r="B79" s="9" t="s">
        <v>156</v>
      </c>
      <c r="C79" s="20" t="s">
        <v>76</v>
      </c>
      <c r="D79" s="11">
        <v>2021</v>
      </c>
      <c r="E79" s="9" t="s">
        <v>45</v>
      </c>
      <c r="F79">
        <v>480.16</v>
      </c>
      <c r="G79">
        <v>24.95</v>
      </c>
      <c r="H79">
        <v>355.34</v>
      </c>
      <c r="I79">
        <v>15.13</v>
      </c>
      <c r="J79">
        <v>417.49</v>
      </c>
      <c r="K79">
        <v>126.8</v>
      </c>
      <c r="L79">
        <v>57.24</v>
      </c>
      <c r="M79" s="11">
        <v>8</v>
      </c>
      <c r="N79" s="11">
        <v>4</v>
      </c>
      <c r="O79" s="13">
        <f t="shared" si="5"/>
        <v>0.5</v>
      </c>
      <c r="P79" s="9" t="s">
        <v>43</v>
      </c>
      <c r="Q79" t="s">
        <v>158</v>
      </c>
      <c r="R79" s="14" t="str">
        <f t="shared" si="4"/>
        <v>Anand Rathi Wealth Ltd_2022</v>
      </c>
    </row>
    <row r="80" spans="1:18" ht="15" customHeight="1">
      <c r="A80" s="9" t="s">
        <v>155</v>
      </c>
      <c r="B80" s="9" t="s">
        <v>156</v>
      </c>
      <c r="C80" s="20" t="s">
        <v>76</v>
      </c>
      <c r="D80" s="11">
        <v>2021</v>
      </c>
      <c r="E80" s="9" t="s">
        <v>46</v>
      </c>
      <c r="F80">
        <v>624.12</v>
      </c>
      <c r="G80">
        <v>16.82</v>
      </c>
      <c r="H80">
        <v>480.09</v>
      </c>
      <c r="I80">
        <v>16.61</v>
      </c>
      <c r="J80">
        <v>529.97</v>
      </c>
      <c r="K80">
        <v>168.6</v>
      </c>
      <c r="L80">
        <v>57.51</v>
      </c>
      <c r="M80" s="11">
        <v>7</v>
      </c>
      <c r="N80" s="11">
        <v>4</v>
      </c>
      <c r="O80" s="13">
        <f t="shared" si="5"/>
        <v>0.5714285714285714</v>
      </c>
      <c r="P80" s="9" t="s">
        <v>43</v>
      </c>
      <c r="Q80" t="s">
        <v>159</v>
      </c>
      <c r="R80" s="14" t="str">
        <f t="shared" si="4"/>
        <v>Anand Rathi Wealth Ltd_2023</v>
      </c>
    </row>
    <row r="81" spans="1:18" ht="15" customHeight="1">
      <c r="A81" s="9" t="s">
        <v>155</v>
      </c>
      <c r="B81" s="9" t="s">
        <v>156</v>
      </c>
      <c r="C81" s="20" t="s">
        <v>76</v>
      </c>
      <c r="D81" s="11">
        <v>2021</v>
      </c>
      <c r="E81" s="9" t="s">
        <v>48</v>
      </c>
      <c r="F81">
        <v>879.74</v>
      </c>
      <c r="G81">
        <v>8.49</v>
      </c>
      <c r="H81">
        <v>661.55</v>
      </c>
      <c r="I81">
        <v>4.57</v>
      </c>
      <c r="J81">
        <v>724.32</v>
      </c>
      <c r="K81">
        <v>225.82</v>
      </c>
      <c r="L81">
        <v>20.04</v>
      </c>
      <c r="M81" s="11">
        <v>7</v>
      </c>
      <c r="N81" s="11">
        <v>4</v>
      </c>
      <c r="O81" s="13">
        <f t="shared" si="5"/>
        <v>0.5714285714285714</v>
      </c>
      <c r="P81" s="9" t="s">
        <v>43</v>
      </c>
      <c r="Q81" t="s">
        <v>160</v>
      </c>
      <c r="R81" s="14" t="str">
        <f t="shared" si="4"/>
        <v>Anand Rathi Wealth Ltd_2024</v>
      </c>
    </row>
    <row r="82" spans="1:18" ht="15" customHeight="1">
      <c r="A82" s="9" t="s">
        <v>161</v>
      </c>
      <c r="B82" s="9" t="s">
        <v>162</v>
      </c>
      <c r="C82" s="10" t="s">
        <v>41</v>
      </c>
      <c r="D82" s="11">
        <v>2020</v>
      </c>
      <c r="E82" s="9" t="s">
        <v>42</v>
      </c>
      <c r="F82" s="12">
        <v>27012.86</v>
      </c>
      <c r="G82" s="12">
        <v>17894.78</v>
      </c>
      <c r="H82" s="12">
        <v>6302.03</v>
      </c>
      <c r="I82">
        <v>56.95</v>
      </c>
      <c r="J82" s="12">
        <v>9277.48</v>
      </c>
      <c r="K82">
        <v>984.52</v>
      </c>
      <c r="L82">
        <v>643.20000000000005</v>
      </c>
      <c r="M82" s="11">
        <v>9</v>
      </c>
      <c r="N82" s="11">
        <v>5</v>
      </c>
      <c r="O82" s="13">
        <f t="shared" si="5"/>
        <v>0.55555555555555558</v>
      </c>
      <c r="P82" s="9" t="s">
        <v>43</v>
      </c>
      <c r="Q82" t="s">
        <v>163</v>
      </c>
      <c r="R82" s="14" t="str">
        <f t="shared" si="4"/>
        <v>SBI Cards and Payment Services Ltd_2021</v>
      </c>
    </row>
    <row r="83" spans="1:18" ht="15" customHeight="1">
      <c r="A83" s="9" t="s">
        <v>161</v>
      </c>
      <c r="B83" s="9" t="s">
        <v>162</v>
      </c>
      <c r="C83" s="10" t="s">
        <v>41</v>
      </c>
      <c r="D83" s="11">
        <v>2020</v>
      </c>
      <c r="E83" s="9" t="s">
        <v>45</v>
      </c>
      <c r="F83" s="12">
        <v>34648.43</v>
      </c>
      <c r="G83" s="12">
        <v>22982.46</v>
      </c>
      <c r="H83" s="12">
        <v>7752.7</v>
      </c>
      <c r="I83">
        <v>99.92</v>
      </c>
      <c r="J83" s="12">
        <v>10677.27</v>
      </c>
      <c r="K83" s="12">
        <v>1616.14</v>
      </c>
      <c r="L83">
        <v>758.16</v>
      </c>
      <c r="M83" s="11">
        <v>9</v>
      </c>
      <c r="N83" s="11">
        <v>5</v>
      </c>
      <c r="O83" s="13">
        <f t="shared" si="5"/>
        <v>0.55555555555555558</v>
      </c>
      <c r="P83" s="9" t="s">
        <v>43</v>
      </c>
      <c r="Q83" t="s">
        <v>164</v>
      </c>
      <c r="R83" s="14" t="str">
        <f t="shared" si="4"/>
        <v>SBI Cards and Payment Services Ltd_2022</v>
      </c>
    </row>
    <row r="84" spans="1:18" ht="15" customHeight="1">
      <c r="A84" s="9" t="s">
        <v>161</v>
      </c>
      <c r="B84" s="9" t="s">
        <v>162</v>
      </c>
      <c r="C84" s="10" t="s">
        <v>41</v>
      </c>
      <c r="D84" s="11">
        <v>2020</v>
      </c>
      <c r="E84" s="9" t="s">
        <v>46</v>
      </c>
      <c r="F84" s="12">
        <v>45545.56</v>
      </c>
      <c r="G84" s="12">
        <v>31109.61</v>
      </c>
      <c r="H84" s="12">
        <v>9830.06</v>
      </c>
      <c r="I84">
        <v>93.4</v>
      </c>
      <c r="J84" s="12">
        <v>13666.64</v>
      </c>
      <c r="K84" s="12">
        <v>2258.4699999999998</v>
      </c>
      <c r="L84">
        <v>989.79</v>
      </c>
      <c r="M84" s="11">
        <v>9</v>
      </c>
      <c r="N84" s="11">
        <v>5</v>
      </c>
      <c r="O84" s="13">
        <f t="shared" si="5"/>
        <v>0.55555555555555558</v>
      </c>
      <c r="P84" s="9" t="s">
        <v>43</v>
      </c>
      <c r="Q84" t="s">
        <v>165</v>
      </c>
      <c r="R84" s="14" t="str">
        <f t="shared" si="4"/>
        <v>SBI Cards and Payment Services Ltd_2023</v>
      </c>
    </row>
    <row r="85" spans="1:18" ht="15" customHeight="1">
      <c r="A85" s="9" t="s">
        <v>161</v>
      </c>
      <c r="B85" s="9" t="s">
        <v>162</v>
      </c>
      <c r="C85" s="10" t="s">
        <v>41</v>
      </c>
      <c r="D85" s="11">
        <v>2020</v>
      </c>
      <c r="E85" s="9" t="s">
        <v>48</v>
      </c>
      <c r="F85" s="12">
        <v>58171.23</v>
      </c>
      <c r="G85" s="12">
        <v>39891.08</v>
      </c>
      <c r="H85" s="12">
        <v>12084.03</v>
      </c>
      <c r="I85">
        <v>74.459999999999994</v>
      </c>
      <c r="J85" s="12">
        <v>16968.419999999998</v>
      </c>
      <c r="K85" s="12">
        <v>2407.88</v>
      </c>
      <c r="L85" s="12">
        <v>2482.0500000000002</v>
      </c>
      <c r="M85" s="11">
        <v>9</v>
      </c>
      <c r="N85" s="11">
        <v>5</v>
      </c>
      <c r="O85" s="13">
        <f t="shared" si="5"/>
        <v>0.55555555555555558</v>
      </c>
      <c r="P85" s="9" t="s">
        <v>43</v>
      </c>
      <c r="Q85" t="s">
        <v>166</v>
      </c>
      <c r="R85" s="14" t="str">
        <f t="shared" si="4"/>
        <v>SBI Cards and Payment Services Ltd_2024</v>
      </c>
    </row>
    <row r="86" spans="1:18" ht="15" customHeight="1">
      <c r="A86" s="9" t="s">
        <v>167</v>
      </c>
      <c r="B86" s="9" t="s">
        <v>168</v>
      </c>
      <c r="C86" s="25" t="s">
        <v>169</v>
      </c>
      <c r="D86" s="11">
        <v>2021</v>
      </c>
      <c r="E86" s="9" t="s">
        <v>42</v>
      </c>
      <c r="F86" s="26">
        <v>4510</v>
      </c>
      <c r="G86" s="26">
        <v>3054</v>
      </c>
      <c r="H86" s="26">
        <v>1381</v>
      </c>
      <c r="I86">
        <v>2.65</v>
      </c>
      <c r="J86">
        <v>489</v>
      </c>
      <c r="K86">
        <v>100</v>
      </c>
      <c r="L86">
        <v>209.42</v>
      </c>
      <c r="M86" s="11">
        <v>9</v>
      </c>
      <c r="N86" s="11">
        <v>3</v>
      </c>
      <c r="O86" s="13">
        <f t="shared" si="5"/>
        <v>0.33333333333333331</v>
      </c>
      <c r="P86" s="9" t="s">
        <v>43</v>
      </c>
      <c r="Q86" s="19" t="s">
        <v>170</v>
      </c>
      <c r="R86" s="14" t="str">
        <f t="shared" si="4"/>
        <v>Home First Finance Company India Ltd_2021</v>
      </c>
    </row>
    <row r="87" spans="1:18" ht="15" customHeight="1">
      <c r="A87" s="9" t="s">
        <v>167</v>
      </c>
      <c r="B87" s="9" t="s">
        <v>168</v>
      </c>
      <c r="C87" s="25" t="s">
        <v>169</v>
      </c>
      <c r="D87" s="11">
        <v>2021</v>
      </c>
      <c r="E87" s="9" t="s">
        <v>45</v>
      </c>
      <c r="F87" s="26">
        <v>5117</v>
      </c>
      <c r="G87" s="26">
        <v>3467</v>
      </c>
      <c r="H87" s="26">
        <v>1574</v>
      </c>
      <c r="I87">
        <v>3.52</v>
      </c>
      <c r="J87">
        <v>596</v>
      </c>
      <c r="K87">
        <v>186</v>
      </c>
      <c r="L87">
        <v>617.76</v>
      </c>
      <c r="M87" s="11">
        <v>9</v>
      </c>
      <c r="N87" s="11">
        <v>4</v>
      </c>
      <c r="O87" s="13">
        <f t="shared" si="5"/>
        <v>0.44444444444444442</v>
      </c>
      <c r="P87" s="9" t="s">
        <v>43</v>
      </c>
      <c r="Q87" t="s">
        <v>171</v>
      </c>
      <c r="R87" s="14" t="str">
        <f t="shared" si="4"/>
        <v>Home First Finance Company India Ltd_2022</v>
      </c>
    </row>
    <row r="88" spans="1:18" ht="15" customHeight="1">
      <c r="A88" s="9" t="s">
        <v>167</v>
      </c>
      <c r="B88" s="9" t="s">
        <v>168</v>
      </c>
      <c r="C88" s="25" t="s">
        <v>169</v>
      </c>
      <c r="D88" s="11">
        <v>2021</v>
      </c>
      <c r="E88" s="9" t="s">
        <v>46</v>
      </c>
      <c r="F88" s="26">
        <v>6737</v>
      </c>
      <c r="G88" s="26">
        <v>4813</v>
      </c>
      <c r="H88" s="26">
        <v>1817</v>
      </c>
      <c r="I88">
        <v>7.15</v>
      </c>
      <c r="J88">
        <v>796</v>
      </c>
      <c r="K88">
        <v>228</v>
      </c>
      <c r="L88">
        <v>235.57</v>
      </c>
      <c r="M88" s="11">
        <v>8</v>
      </c>
      <c r="N88" s="11">
        <v>4</v>
      </c>
      <c r="O88" s="13">
        <f t="shared" si="5"/>
        <v>0.5</v>
      </c>
      <c r="P88" s="9" t="s">
        <v>43</v>
      </c>
      <c r="Q88" t="s">
        <v>172</v>
      </c>
      <c r="R88" s="14" t="str">
        <f t="shared" si="4"/>
        <v>Home First Finance Company India Ltd_2023</v>
      </c>
    </row>
    <row r="89" spans="1:18" ht="15" customHeight="1">
      <c r="A89" s="9" t="s">
        <v>167</v>
      </c>
      <c r="B89" s="9" t="s">
        <v>168</v>
      </c>
      <c r="C89" s="25" t="s">
        <v>169</v>
      </c>
      <c r="D89" s="11">
        <v>2021</v>
      </c>
      <c r="E89" s="9" t="s">
        <v>48</v>
      </c>
      <c r="F89" s="26">
        <v>9534</v>
      </c>
      <c r="G89" s="26">
        <v>7302</v>
      </c>
      <c r="H89" s="26">
        <v>2121</v>
      </c>
      <c r="I89">
        <v>8</v>
      </c>
      <c r="J89" s="26">
        <v>1157</v>
      </c>
      <c r="K89">
        <v>306</v>
      </c>
      <c r="L89">
        <v>580.48</v>
      </c>
      <c r="M89" s="11">
        <v>8</v>
      </c>
      <c r="N89" s="11">
        <v>4</v>
      </c>
      <c r="O89" s="13">
        <f t="shared" si="5"/>
        <v>0.5</v>
      </c>
      <c r="P89" s="9" t="s">
        <v>43</v>
      </c>
      <c r="Q89" t="s">
        <v>173</v>
      </c>
      <c r="R89" s="14" t="str">
        <f t="shared" si="4"/>
        <v>Home First Finance Company India Ltd_2024</v>
      </c>
    </row>
    <row r="90" spans="1:18" ht="15" customHeight="1">
      <c r="A90" s="9" t="s">
        <v>174</v>
      </c>
      <c r="B90" s="9" t="s">
        <v>175</v>
      </c>
      <c r="C90" s="25" t="s">
        <v>169</v>
      </c>
      <c r="D90" s="11">
        <v>2018</v>
      </c>
      <c r="E90" s="9" t="s">
        <v>42</v>
      </c>
      <c r="F90" s="12">
        <v>1750.89</v>
      </c>
      <c r="G90">
        <v>765.69</v>
      </c>
      <c r="H90">
        <v>952.44</v>
      </c>
      <c r="I90">
        <v>12.07</v>
      </c>
      <c r="J90">
        <v>153.34</v>
      </c>
      <c r="K90">
        <v>28.73</v>
      </c>
      <c r="L90">
        <v>123.66</v>
      </c>
      <c r="M90" s="11">
        <v>13</v>
      </c>
      <c r="N90" s="11">
        <v>7</v>
      </c>
      <c r="O90" s="13">
        <f t="shared" si="5"/>
        <v>0.53846153846153844</v>
      </c>
      <c r="P90" s="9" t="s">
        <v>43</v>
      </c>
      <c r="Q90" t="s">
        <v>176</v>
      </c>
      <c r="R90" s="14" t="str">
        <f t="shared" si="4"/>
        <v>Ugro Capital Ltd_2021</v>
      </c>
    </row>
    <row r="91" spans="1:18" ht="15" customHeight="1">
      <c r="A91" s="9" t="s">
        <v>174</v>
      </c>
      <c r="B91" s="9" t="s">
        <v>175</v>
      </c>
      <c r="C91" s="25" t="s">
        <v>169</v>
      </c>
      <c r="D91" s="11">
        <v>2018</v>
      </c>
      <c r="E91" s="9" t="s">
        <v>45</v>
      </c>
      <c r="F91" s="12">
        <v>2854.23</v>
      </c>
      <c r="G91" s="12">
        <v>1801.84</v>
      </c>
      <c r="H91">
        <v>966.56</v>
      </c>
      <c r="I91">
        <v>14.34</v>
      </c>
      <c r="J91">
        <v>313.42</v>
      </c>
      <c r="K91">
        <v>14.55</v>
      </c>
      <c r="L91">
        <v>65.75</v>
      </c>
      <c r="M91" s="11">
        <v>11</v>
      </c>
      <c r="N91" s="11">
        <v>7</v>
      </c>
      <c r="O91" s="13">
        <f t="shared" si="5"/>
        <v>0.63636363636363635</v>
      </c>
      <c r="P91" s="9" t="s">
        <v>43</v>
      </c>
      <c r="Q91" t="s">
        <v>177</v>
      </c>
      <c r="R91" s="14" t="str">
        <f t="shared" si="4"/>
        <v>Ugro Capital Ltd_2022</v>
      </c>
    </row>
    <row r="92" spans="1:18" ht="15" customHeight="1">
      <c r="A92" s="9" t="s">
        <v>174</v>
      </c>
      <c r="B92" s="9" t="s">
        <v>175</v>
      </c>
      <c r="C92" s="25" t="s">
        <v>169</v>
      </c>
      <c r="D92" s="11">
        <v>2018</v>
      </c>
      <c r="E92" s="9" t="s">
        <v>46</v>
      </c>
      <c r="F92" s="12">
        <v>4305.59</v>
      </c>
      <c r="G92" s="12">
        <v>3148.93</v>
      </c>
      <c r="H92">
        <v>984.04</v>
      </c>
      <c r="I92">
        <v>40.9</v>
      </c>
      <c r="J92">
        <v>683.76</v>
      </c>
      <c r="K92">
        <v>39.78</v>
      </c>
      <c r="L92">
        <v>40.15</v>
      </c>
      <c r="M92" s="11">
        <v>13</v>
      </c>
      <c r="N92" s="11">
        <v>7</v>
      </c>
      <c r="O92" s="13">
        <f t="shared" si="5"/>
        <v>0.53846153846153844</v>
      </c>
      <c r="P92" s="9" t="s">
        <v>43</v>
      </c>
      <c r="Q92" t="s">
        <v>178</v>
      </c>
      <c r="R92" s="14" t="str">
        <f t="shared" si="4"/>
        <v>Ugro Capital Ltd_2023</v>
      </c>
    </row>
    <row r="93" spans="1:18" ht="15" customHeight="1">
      <c r="A93" s="9" t="s">
        <v>174</v>
      </c>
      <c r="B93" s="9" t="s">
        <v>175</v>
      </c>
      <c r="C93" s="25" t="s">
        <v>169</v>
      </c>
      <c r="D93" s="11">
        <v>2018</v>
      </c>
      <c r="E93" s="9" t="s">
        <v>48</v>
      </c>
      <c r="F93" s="12">
        <v>6279.98</v>
      </c>
      <c r="G93" s="12">
        <v>4618.05</v>
      </c>
      <c r="H93" s="12">
        <v>1438.36</v>
      </c>
      <c r="I93">
        <v>40.4</v>
      </c>
      <c r="J93" s="12">
        <v>1081.68</v>
      </c>
      <c r="K93">
        <v>119.34</v>
      </c>
      <c r="L93">
        <v>88.35</v>
      </c>
      <c r="M93" s="11">
        <v>10</v>
      </c>
      <c r="N93" s="11">
        <v>6</v>
      </c>
      <c r="O93" s="13">
        <f t="shared" si="5"/>
        <v>0.6</v>
      </c>
      <c r="P93" s="9" t="s">
        <v>43</v>
      </c>
      <c r="Q93" t="s">
        <v>179</v>
      </c>
      <c r="R93" s="14" t="str">
        <f t="shared" si="4"/>
        <v>Ugro Capital Ltd_2024</v>
      </c>
    </row>
    <row r="94" spans="1:18" ht="15" customHeight="1">
      <c r="A94" s="9" t="s">
        <v>180</v>
      </c>
      <c r="B94" s="9" t="s">
        <v>181</v>
      </c>
      <c r="C94" s="25" t="s">
        <v>169</v>
      </c>
      <c r="D94" s="11">
        <v>2018</v>
      </c>
      <c r="E94" s="9" t="s">
        <v>42</v>
      </c>
      <c r="F94" s="12">
        <v>15059.24</v>
      </c>
      <c r="G94" s="12">
        <v>10838.63</v>
      </c>
      <c r="H94" s="12">
        <v>3796.38</v>
      </c>
      <c r="I94">
        <v>14.56</v>
      </c>
      <c r="J94" s="12">
        <v>2466.0700000000002</v>
      </c>
      <c r="K94">
        <v>131.4</v>
      </c>
      <c r="L94" s="12">
        <v>2360.09</v>
      </c>
      <c r="M94" s="11">
        <v>8</v>
      </c>
      <c r="N94" s="11">
        <v>4</v>
      </c>
      <c r="O94" s="13">
        <f t="shared" si="5"/>
        <v>0.5</v>
      </c>
      <c r="P94" s="9" t="s">
        <v>43</v>
      </c>
      <c r="Q94" t="s">
        <v>182</v>
      </c>
      <c r="R94" s="14" t="str">
        <f t="shared" si="4"/>
        <v>CreditAccess Grameen Ltd_2021</v>
      </c>
    </row>
    <row r="95" spans="1:18" ht="15" customHeight="1">
      <c r="A95" s="9" t="s">
        <v>180</v>
      </c>
      <c r="B95" s="9" t="s">
        <v>181</v>
      </c>
      <c r="C95" s="25" t="s">
        <v>169</v>
      </c>
      <c r="D95" s="11">
        <v>2018</v>
      </c>
      <c r="E95" s="9" t="s">
        <v>45</v>
      </c>
      <c r="F95" s="12">
        <v>17394.75</v>
      </c>
      <c r="G95" s="15">
        <v>12842.95</v>
      </c>
      <c r="H95" s="12">
        <v>4076.05</v>
      </c>
      <c r="I95">
        <v>27.86</v>
      </c>
      <c r="J95" s="12">
        <v>2750.13</v>
      </c>
      <c r="K95">
        <v>357.1</v>
      </c>
      <c r="L95" s="12">
        <v>1580.55</v>
      </c>
      <c r="M95" s="11">
        <v>7</v>
      </c>
      <c r="N95" s="11">
        <v>4</v>
      </c>
      <c r="O95" s="13">
        <f t="shared" si="5"/>
        <v>0.5714285714285714</v>
      </c>
      <c r="P95" s="9" t="s">
        <v>43</v>
      </c>
      <c r="Q95" t="s">
        <v>183</v>
      </c>
      <c r="R95" s="14" t="str">
        <f t="shared" si="4"/>
        <v>CreditAccess Grameen Ltd_2022</v>
      </c>
    </row>
    <row r="96" spans="1:18" ht="15" customHeight="1">
      <c r="A96" s="9" t="s">
        <v>180</v>
      </c>
      <c r="B96" s="9" t="s">
        <v>181</v>
      </c>
      <c r="C96" s="25" t="s">
        <v>169</v>
      </c>
      <c r="D96" s="11">
        <v>2018</v>
      </c>
      <c r="E96" s="9" t="s">
        <v>46</v>
      </c>
      <c r="F96" s="12">
        <v>21858.1</v>
      </c>
      <c r="G96" s="12">
        <v>16234.35</v>
      </c>
      <c r="H96" s="12">
        <v>5106.97</v>
      </c>
      <c r="I96">
        <v>17.32</v>
      </c>
      <c r="J96" s="12">
        <v>3550.79</v>
      </c>
      <c r="K96">
        <v>826.06</v>
      </c>
      <c r="L96" s="12">
        <v>1341.41</v>
      </c>
      <c r="M96" s="11">
        <v>8</v>
      </c>
      <c r="N96" s="11">
        <v>4</v>
      </c>
      <c r="O96" s="13">
        <f t="shared" si="5"/>
        <v>0.5</v>
      </c>
      <c r="P96" s="9" t="s">
        <v>43</v>
      </c>
      <c r="Q96" t="s">
        <v>184</v>
      </c>
      <c r="R96" s="14" t="str">
        <f t="shared" si="4"/>
        <v>CreditAccess Grameen Ltd_2023</v>
      </c>
    </row>
    <row r="97" spans="1:18" ht="15" customHeight="1">
      <c r="A97" s="9" t="s">
        <v>180</v>
      </c>
      <c r="B97" s="9" t="s">
        <v>181</v>
      </c>
      <c r="C97" s="25" t="s">
        <v>169</v>
      </c>
      <c r="D97" s="11">
        <v>2018</v>
      </c>
      <c r="E97" s="9" t="s">
        <v>48</v>
      </c>
      <c r="F97" s="12">
        <v>28846.16</v>
      </c>
      <c r="G97" s="12">
        <v>21815.77</v>
      </c>
      <c r="H97" s="12">
        <v>6569.98</v>
      </c>
      <c r="I97">
        <v>20.309999999999999</v>
      </c>
      <c r="J97" s="12">
        <v>5172.6499999999996</v>
      </c>
      <c r="K97" s="12">
        <v>1445.93</v>
      </c>
      <c r="L97" s="12">
        <v>1107.29</v>
      </c>
      <c r="M97" s="11">
        <v>8</v>
      </c>
      <c r="N97" s="11">
        <v>4</v>
      </c>
      <c r="O97" s="13">
        <f t="shared" si="5"/>
        <v>0.5</v>
      </c>
      <c r="P97" s="9" t="s">
        <v>43</v>
      </c>
      <c r="Q97" t="s">
        <v>185</v>
      </c>
      <c r="R97" s="14" t="str">
        <f t="shared" si="4"/>
        <v>CreditAccess Grameen Ltd_2024</v>
      </c>
    </row>
    <row r="98" spans="1:18" ht="15" customHeight="1">
      <c r="A98" s="9" t="s">
        <v>186</v>
      </c>
      <c r="B98" s="9" t="s">
        <v>187</v>
      </c>
      <c r="C98" s="25" t="s">
        <v>169</v>
      </c>
      <c r="D98" s="11">
        <v>2017</v>
      </c>
      <c r="E98" s="9" t="s">
        <v>42</v>
      </c>
      <c r="F98" s="12">
        <v>5429.63</v>
      </c>
      <c r="G98" s="12">
        <v>3512.75</v>
      </c>
      <c r="H98" s="12">
        <v>1200.3499999999999</v>
      </c>
      <c r="I98">
        <v>2.0099999999999998</v>
      </c>
      <c r="J98">
        <v>627.71</v>
      </c>
      <c r="K98">
        <v>145.52000000000001</v>
      </c>
      <c r="L98">
        <v>987.11</v>
      </c>
      <c r="M98" s="11">
        <v>6</v>
      </c>
      <c r="N98" s="11">
        <v>4</v>
      </c>
      <c r="O98" s="13">
        <f t="shared" si="5"/>
        <v>0.66666666666666663</v>
      </c>
      <c r="P98" s="9" t="s">
        <v>43</v>
      </c>
      <c r="Q98" t="s">
        <v>188</v>
      </c>
      <c r="R98" s="14" t="str">
        <f t="shared" si="4"/>
        <v>MAS Financial Services Ltd_2021</v>
      </c>
    </row>
    <row r="99" spans="1:18" ht="15" customHeight="1">
      <c r="A99" s="9" t="s">
        <v>186</v>
      </c>
      <c r="B99" s="9" t="s">
        <v>187</v>
      </c>
      <c r="C99" s="25" t="s">
        <v>169</v>
      </c>
      <c r="D99" s="11">
        <v>2017</v>
      </c>
      <c r="E99" s="9" t="s">
        <v>45</v>
      </c>
      <c r="F99" s="12">
        <v>6445.52</v>
      </c>
      <c r="G99" s="12">
        <v>4381.74</v>
      </c>
      <c r="H99" s="12">
        <v>1354.47</v>
      </c>
      <c r="I99">
        <v>3.73</v>
      </c>
      <c r="J99">
        <v>691.11</v>
      </c>
      <c r="K99">
        <v>156.72999999999999</v>
      </c>
      <c r="L99">
        <v>878.18</v>
      </c>
      <c r="M99" s="11">
        <v>6</v>
      </c>
      <c r="N99" s="11">
        <v>4</v>
      </c>
      <c r="O99" s="13">
        <f t="shared" ref="O99:O101" si="6">IFERROR(N99/M99,"")</f>
        <v>0.66666666666666663</v>
      </c>
      <c r="P99" s="9" t="s">
        <v>43</v>
      </c>
      <c r="Q99" s="9" t="s">
        <v>189</v>
      </c>
      <c r="R99" s="14" t="str">
        <f t="shared" si="4"/>
        <v>MAS Financial Services Ltd_2022</v>
      </c>
    </row>
    <row r="100" spans="1:18" ht="15" customHeight="1">
      <c r="A100" s="9" t="s">
        <v>186</v>
      </c>
      <c r="B100" s="9" t="s">
        <v>187</v>
      </c>
      <c r="C100" s="25" t="s">
        <v>169</v>
      </c>
      <c r="D100" s="11">
        <v>2017</v>
      </c>
      <c r="E100" s="9" t="s">
        <v>46</v>
      </c>
      <c r="F100" s="12">
        <v>8160.07</v>
      </c>
      <c r="G100" s="12">
        <v>5789.92</v>
      </c>
      <c r="H100" s="12">
        <v>1584.77</v>
      </c>
      <c r="I100">
        <v>5.36</v>
      </c>
      <c r="J100">
        <v>956.86</v>
      </c>
      <c r="K100">
        <v>205.83</v>
      </c>
      <c r="L100">
        <v>855.2</v>
      </c>
      <c r="M100" s="11">
        <v>6</v>
      </c>
      <c r="N100" s="11">
        <v>4</v>
      </c>
      <c r="O100" s="13">
        <f t="shared" si="6"/>
        <v>0.66666666666666663</v>
      </c>
      <c r="P100" s="9" t="s">
        <v>43</v>
      </c>
      <c r="Q100" t="s">
        <v>190</v>
      </c>
      <c r="R100" s="14" t="str">
        <f t="shared" si="4"/>
        <v>MAS Financial Services Ltd_2023</v>
      </c>
    </row>
    <row r="101" spans="1:18" ht="15" customHeight="1">
      <c r="A101" s="9" t="s">
        <v>186</v>
      </c>
      <c r="B101" s="9" t="s">
        <v>187</v>
      </c>
      <c r="C101" s="25" t="s">
        <v>169</v>
      </c>
      <c r="D101" s="11">
        <v>2017</v>
      </c>
      <c r="E101" s="9" t="s">
        <v>48</v>
      </c>
      <c r="F101" s="12">
        <v>10579.37</v>
      </c>
      <c r="G101" s="12">
        <v>7693.81</v>
      </c>
      <c r="H101" s="12">
        <v>1875.64</v>
      </c>
      <c r="I101">
        <v>7.73</v>
      </c>
      <c r="J101" s="12">
        <v>1271.18</v>
      </c>
      <c r="K101">
        <v>254.01</v>
      </c>
      <c r="L101" s="15">
        <v>829.96</v>
      </c>
      <c r="M101" s="11">
        <v>6</v>
      </c>
      <c r="N101" s="11">
        <v>4</v>
      </c>
      <c r="O101" s="13">
        <f t="shared" si="6"/>
        <v>0.66666666666666663</v>
      </c>
      <c r="P101" s="9" t="s">
        <v>43</v>
      </c>
      <c r="Q101" t="s">
        <v>191</v>
      </c>
      <c r="R101" s="14" t="str">
        <f t="shared" si="4"/>
        <v>MAS Financial Services Ltd_2024</v>
      </c>
    </row>
    <row r="102" spans="1:18" ht="14.25" customHeight="1">
      <c r="D102" s="27"/>
      <c r="F102" s="28"/>
      <c r="G102" s="28"/>
      <c r="H102" s="28"/>
      <c r="I102" s="28"/>
      <c r="J102" s="28"/>
      <c r="K102" s="28"/>
      <c r="L102" s="28"/>
      <c r="M102" s="27"/>
      <c r="N102" s="27"/>
      <c r="O102" s="29"/>
    </row>
    <row r="103" spans="1:18" ht="15" customHeight="1">
      <c r="A103" s="30"/>
      <c r="B103" s="30"/>
      <c r="C103" s="30"/>
      <c r="D103" s="31"/>
      <c r="E103" s="30"/>
      <c r="F103" s="32"/>
      <c r="G103" s="32"/>
      <c r="H103" s="32"/>
      <c r="I103" s="32"/>
      <c r="J103" s="32"/>
      <c r="K103" s="32"/>
      <c r="L103" s="32"/>
      <c r="M103" s="31"/>
      <c r="N103" s="31"/>
      <c r="O103" s="33" t="str">
        <f>IFERROR(N103/M103,"")</f>
        <v/>
      </c>
      <c r="P103" s="30"/>
      <c r="Q103" s="30"/>
    </row>
    <row r="104" spans="1:18" ht="14.25" customHeight="1">
      <c r="D104" s="27"/>
      <c r="F104" s="28"/>
      <c r="G104" s="28"/>
      <c r="H104" s="28"/>
      <c r="I104" s="28"/>
      <c r="J104" s="28"/>
      <c r="K104" s="28"/>
      <c r="L104" s="28"/>
      <c r="M104" s="27"/>
      <c r="N104" s="27"/>
      <c r="O104" s="29"/>
    </row>
    <row r="105" spans="1:18" ht="14.25" customHeight="1">
      <c r="D105" s="27"/>
      <c r="F105" s="28"/>
      <c r="G105" s="28"/>
      <c r="H105" s="28"/>
      <c r="I105" s="28"/>
      <c r="J105" s="28"/>
      <c r="K105" s="28"/>
      <c r="L105" s="28"/>
      <c r="M105" s="27"/>
      <c r="N105" s="27"/>
      <c r="O105" s="29"/>
    </row>
    <row r="106" spans="1:18" ht="15" customHeight="1">
      <c r="A106" s="34" t="s">
        <v>192</v>
      </c>
      <c r="D106" s="27"/>
      <c r="F106" s="28"/>
      <c r="G106" s="28"/>
      <c r="H106" s="28"/>
      <c r="I106" s="28"/>
      <c r="J106" s="28"/>
      <c r="K106" s="28"/>
      <c r="L106" s="28"/>
      <c r="M106" s="27"/>
      <c r="N106" s="27"/>
      <c r="O106" s="29"/>
    </row>
    <row r="107" spans="1:18" ht="15" customHeight="1">
      <c r="A107" s="58" t="s">
        <v>193</v>
      </c>
      <c r="B107" s="58"/>
      <c r="C107" s="58"/>
      <c r="D107" s="58"/>
      <c r="E107" s="58"/>
      <c r="F107" s="58"/>
      <c r="G107" s="58"/>
      <c r="H107" s="58"/>
      <c r="I107" s="28"/>
      <c r="J107" s="28"/>
      <c r="K107" s="28"/>
      <c r="L107" s="28"/>
      <c r="M107" s="27"/>
      <c r="N107" s="27"/>
      <c r="O107" s="29"/>
    </row>
    <row r="108" spans="1:18" ht="15" customHeight="1">
      <c r="A108" s="58" t="s">
        <v>194</v>
      </c>
      <c r="B108" s="58"/>
      <c r="C108" s="58"/>
      <c r="D108" s="58"/>
      <c r="E108" s="58"/>
      <c r="F108" s="58"/>
      <c r="G108" s="58"/>
      <c r="H108" s="58"/>
      <c r="I108" s="28"/>
      <c r="J108" s="28"/>
      <c r="K108" s="28"/>
      <c r="L108" s="28"/>
      <c r="M108" s="27"/>
      <c r="N108" s="27"/>
      <c r="O108" s="29"/>
    </row>
    <row r="109" spans="1:18" ht="15" customHeight="1">
      <c r="A109" s="58" t="s">
        <v>195</v>
      </c>
      <c r="B109" s="58"/>
      <c r="C109" s="58"/>
      <c r="D109" s="58"/>
      <c r="E109" s="58"/>
      <c r="F109" s="58"/>
      <c r="G109" s="58"/>
      <c r="H109" s="58"/>
      <c r="I109" s="28"/>
      <c r="J109" s="28"/>
      <c r="K109" s="28"/>
      <c r="L109" s="28"/>
      <c r="M109" s="27"/>
      <c r="N109" s="27"/>
      <c r="O109" s="29"/>
    </row>
    <row r="110" spans="1:18" ht="15" customHeight="1">
      <c r="A110" s="58" t="s">
        <v>196</v>
      </c>
      <c r="B110" s="58"/>
      <c r="C110" s="58"/>
      <c r="D110" s="58"/>
      <c r="E110" s="58"/>
      <c r="F110" s="58"/>
      <c r="G110" s="58"/>
      <c r="H110" s="58"/>
      <c r="I110" s="28"/>
      <c r="J110" s="28"/>
      <c r="K110" s="28"/>
      <c r="L110" s="28"/>
      <c r="M110" s="27"/>
      <c r="N110" s="27"/>
      <c r="O110" s="29"/>
    </row>
    <row r="111" spans="1:18" ht="15" customHeight="1">
      <c r="A111" s="58" t="s">
        <v>197</v>
      </c>
      <c r="B111" s="58"/>
      <c r="C111" s="58"/>
      <c r="D111" s="58"/>
      <c r="E111" s="58"/>
      <c r="F111" s="58"/>
      <c r="G111" s="58"/>
      <c r="H111" s="58"/>
      <c r="I111" s="28"/>
      <c r="J111" s="28"/>
      <c r="K111" s="28"/>
      <c r="L111" s="28"/>
      <c r="M111" s="27"/>
      <c r="N111" s="27"/>
      <c r="O111" s="29"/>
    </row>
    <row r="112" spans="1:18" ht="15" customHeight="1">
      <c r="A112" s="58" t="s">
        <v>198</v>
      </c>
      <c r="B112" s="58"/>
      <c r="C112" s="58"/>
      <c r="D112" s="58"/>
      <c r="E112" s="58"/>
      <c r="F112" s="58"/>
      <c r="G112" s="58"/>
      <c r="H112" s="58"/>
      <c r="I112" s="28"/>
      <c r="J112" s="28"/>
      <c r="K112" s="28"/>
      <c r="L112" s="28"/>
      <c r="M112" s="27"/>
      <c r="N112" s="27"/>
      <c r="O112" s="29"/>
    </row>
    <row r="113" spans="1:15" ht="15" customHeight="1">
      <c r="A113" s="58" t="s">
        <v>199</v>
      </c>
      <c r="B113" s="58"/>
      <c r="C113" s="58"/>
      <c r="D113" s="58"/>
      <c r="E113" s="58"/>
      <c r="F113" s="58"/>
      <c r="G113" s="58"/>
      <c r="H113" s="58"/>
      <c r="I113" s="28"/>
      <c r="J113" s="28"/>
      <c r="K113" s="28"/>
      <c r="L113" s="28"/>
      <c r="M113" s="27"/>
      <c r="N113" s="27"/>
      <c r="O113" s="29"/>
    </row>
    <row r="114" spans="1:15" ht="15" customHeight="1">
      <c r="A114" s="58" t="s">
        <v>200</v>
      </c>
      <c r="B114" s="58"/>
      <c r="C114" s="58"/>
      <c r="D114" s="58"/>
      <c r="E114" s="58"/>
      <c r="F114" s="58"/>
      <c r="G114" s="58"/>
      <c r="H114" s="58"/>
      <c r="I114" s="28"/>
      <c r="J114" s="28"/>
      <c r="K114" s="28"/>
      <c r="L114" s="28"/>
      <c r="M114" s="27"/>
      <c r="N114" s="27"/>
      <c r="O114" s="29"/>
    </row>
    <row r="115" spans="1:15" ht="15" customHeight="1">
      <c r="A115" s="58" t="s">
        <v>201</v>
      </c>
      <c r="B115" s="58"/>
      <c r="C115" s="58"/>
      <c r="D115" s="58"/>
      <c r="E115" s="58"/>
      <c r="F115" s="58"/>
      <c r="G115" s="58"/>
      <c r="H115" s="58"/>
      <c r="I115" s="28"/>
      <c r="J115" s="28"/>
      <c r="K115" s="28"/>
      <c r="L115" s="28"/>
      <c r="M115" s="27"/>
      <c r="N115" s="27"/>
      <c r="O115" s="29"/>
    </row>
    <row r="116" spans="1:15" ht="15" customHeight="1">
      <c r="A116" s="57" t="s">
        <v>202</v>
      </c>
      <c r="B116" s="57"/>
      <c r="C116" s="57"/>
      <c r="D116" s="57"/>
      <c r="E116" s="57"/>
      <c r="F116" s="57"/>
      <c r="G116" s="57"/>
      <c r="H116" s="57"/>
      <c r="I116" s="28"/>
      <c r="J116" s="28"/>
      <c r="K116" s="28"/>
      <c r="L116" s="28"/>
      <c r="M116" s="27"/>
      <c r="N116" s="27"/>
      <c r="O116" s="29"/>
    </row>
    <row r="117" spans="1:15" ht="15" customHeight="1">
      <c r="A117" s="58" t="s">
        <v>203</v>
      </c>
      <c r="B117" s="58"/>
      <c r="C117" s="58"/>
      <c r="D117" s="58"/>
      <c r="E117" s="58"/>
      <c r="F117" s="58"/>
      <c r="G117" s="58"/>
      <c r="H117" s="58"/>
      <c r="I117" s="28"/>
      <c r="J117" s="28"/>
      <c r="K117" s="28"/>
      <c r="L117" s="28"/>
      <c r="M117" s="27"/>
      <c r="N117" s="27"/>
      <c r="O117" s="29"/>
    </row>
  </sheetData>
  <autoFilter ref="A1:Q117" xr:uid="{00000000-0009-0000-0000-000001000000}"/>
  <mergeCells count="12">
    <mergeCell ref="Q2:Q3"/>
    <mergeCell ref="A107:H107"/>
    <mergeCell ref="A108:H108"/>
    <mergeCell ref="A109:H109"/>
    <mergeCell ref="A110:H110"/>
    <mergeCell ref="A116:H116"/>
    <mergeCell ref="A117:H117"/>
    <mergeCell ref="A111:H111"/>
    <mergeCell ref="A112:H112"/>
    <mergeCell ref="A113:H113"/>
    <mergeCell ref="A114:H114"/>
    <mergeCell ref="A115:H11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6"/>
  <sheetViews>
    <sheetView zoomScaleNormal="100" workbookViewId="0">
      <pane ySplit="4" topLeftCell="A5" activePane="bottomLeft" state="frozen"/>
      <selection pane="bottomLeft" activeCell="E106" sqref="E106"/>
    </sheetView>
  </sheetViews>
  <sheetFormatPr defaultColWidth="8.6640625" defaultRowHeight="14.4"/>
  <cols>
    <col min="1" max="1" width="42" customWidth="1"/>
    <col min="2" max="2" width="15.21875" customWidth="1"/>
    <col min="3" max="5" width="14" customWidth="1"/>
    <col min="6" max="6" width="20" customWidth="1"/>
  </cols>
  <sheetData>
    <row r="1" spans="1:6" ht="15" customHeight="1">
      <c r="A1" s="55" t="s">
        <v>204</v>
      </c>
      <c r="B1" s="55"/>
      <c r="C1" s="55"/>
      <c r="D1" s="55"/>
      <c r="E1" s="55"/>
      <c r="F1" s="55"/>
    </row>
    <row r="2" spans="1:6" ht="15" customHeight="1">
      <c r="A2" s="54" t="s">
        <v>205</v>
      </c>
      <c r="B2" s="54"/>
      <c r="C2" s="54"/>
      <c r="D2" s="54"/>
      <c r="E2" s="54"/>
      <c r="F2" s="54"/>
    </row>
    <row r="4" spans="1:6" ht="15" customHeight="1">
      <c r="A4" s="1" t="s">
        <v>206</v>
      </c>
      <c r="B4" s="1" t="s">
        <v>207</v>
      </c>
      <c r="C4" s="1" t="s">
        <v>208</v>
      </c>
      <c r="D4" s="1" t="s">
        <v>209</v>
      </c>
      <c r="E4" s="1" t="s">
        <v>210</v>
      </c>
      <c r="F4" s="1" t="s">
        <v>211</v>
      </c>
    </row>
    <row r="5" spans="1:6" ht="15" customHeight="1">
      <c r="A5" s="17" t="str">
        <f>'Raw Data'!R2</f>
        <v>One97 Communications Ltd (Paytm)_2021</v>
      </c>
      <c r="B5" s="35">
        <f>IFERROR(ROUND(SUMIF('Raw Data'!$R:$R,$A5,'Raw Data'!$I:$I)/SUMIF('Raw Data'!$R:$R,$A5,'Raw Data'!$F:$F),4),"NA")</f>
        <v>2.1100000000000001E-2</v>
      </c>
      <c r="C5" s="35">
        <f>IFERROR(ROUND(SUMIF('Raw Data'!$R:$R,$A5,'Raw Data'!$G:$G)/SUMIF('Raw Data'!$R:$R,$A5,'Raw Data'!$F:$F),4),"NA")</f>
        <v>5.9499999999999997E-2</v>
      </c>
      <c r="D5" s="35">
        <f>IFERROR(ROUND(SUMIF('Raw Data'!$R:$R,$A5,'Raw Data'!$K:$K)/SUMIF('Raw Data'!$R:$R,$A5,'Raw Data'!$F:$F),4),"NA")</f>
        <v>-0.18590000000000001</v>
      </c>
      <c r="E5" s="36">
        <f>IFERROR(ROUND(LN(SUMIF('Raw Data'!$R:$R,$A5,'Raw Data'!$F:$F)),4),"NA")</f>
        <v>9.1217000000000006</v>
      </c>
      <c r="F5" s="35" t="str">
        <f>IFERROR(ROUND(SUMIF('Raw Data'!$R:$R,$A5,'Raw Data'!$N:$N)/SUMIF('Raw Data'!$R:$R,$A5,'Raw Data'!$M:$M),4),"NA")</f>
        <v>NA</v>
      </c>
    </row>
    <row r="6" spans="1:6" ht="15" customHeight="1">
      <c r="A6" s="17" t="str">
        <f>'Raw Data'!R3</f>
        <v>One97 Communications Ltd (Paytm)_2022</v>
      </c>
      <c r="B6" s="35">
        <f>IFERROR(ROUND(SUMIF('Raw Data'!$R:$R,$A6,'Raw Data'!$I:$I)/SUMIF('Raw Data'!$R:$R,$A6,'Raw Data'!$F:$F),4),"NA")</f>
        <v>2.8199999999999999E-2</v>
      </c>
      <c r="C6" s="35">
        <f>IFERROR(ROUND(SUMIF('Raw Data'!$R:$R,$A6,'Raw Data'!$G:$G)/SUMIF('Raw Data'!$R:$R,$A6,'Raw Data'!$F:$F),4),"NA")</f>
        <v>0</v>
      </c>
      <c r="D6" s="35">
        <f>IFERROR(ROUND(SUMIF('Raw Data'!$R:$R,$A6,'Raw Data'!$K:$K)/SUMIF('Raw Data'!$R:$R,$A6,'Raw Data'!$F:$F),4),"NA")</f>
        <v>-0.13320000000000001</v>
      </c>
      <c r="E6" s="36">
        <f>IFERROR(ROUND(LN(SUMIF('Raw Data'!$R:$R,$A6,'Raw Data'!$F:$F)),4),"NA")</f>
        <v>9.7977000000000007</v>
      </c>
      <c r="F6" s="35">
        <f>IFERROR(ROUND(SUMIF('Raw Data'!$R:$R,$A6,'Raw Data'!$N:$N)/SUMIF('Raw Data'!$R:$R,$A6,'Raw Data'!$M:$M),4),"NA")</f>
        <v>0.5</v>
      </c>
    </row>
    <row r="7" spans="1:6" ht="15" customHeight="1">
      <c r="A7" s="17" t="str">
        <f>'Raw Data'!R4</f>
        <v>One97 Communications Ltd (Paytm)_2023</v>
      </c>
      <c r="B7" s="35">
        <f>IFERROR(ROUND(SUMIF('Raw Data'!$R:$R,$A7,'Raw Data'!$I:$I)/SUMIF('Raw Data'!$R:$R,$A7,'Raw Data'!$F:$F),4),"NA")</f>
        <v>3.9300000000000002E-2</v>
      </c>
      <c r="C7" s="35">
        <f>IFERROR(ROUND(SUMIF('Raw Data'!$R:$R,$A7,'Raw Data'!$G:$G)/SUMIF('Raw Data'!$R:$R,$A7,'Raw Data'!$F:$F),4),"NA")</f>
        <v>1E-4</v>
      </c>
      <c r="D7" s="35">
        <f>IFERROR(ROUND(SUMIF('Raw Data'!$R:$R,$A7,'Raw Data'!$K:$K)/SUMIF('Raw Data'!$R:$R,$A7,'Raw Data'!$F:$F),4),"NA")</f>
        <v>-9.8900000000000002E-2</v>
      </c>
      <c r="E7" s="36">
        <f>IFERROR(ROUND(LN(SUMIF('Raw Data'!$R:$R,$A7,'Raw Data'!$F:$F)),4),"NA")</f>
        <v>9.7962000000000007</v>
      </c>
      <c r="F7" s="35">
        <f>IFERROR(ROUND(SUMIF('Raw Data'!$R:$R,$A7,'Raw Data'!$N:$N)/SUMIF('Raw Data'!$R:$R,$A7,'Raw Data'!$M:$M),4),"NA")</f>
        <v>0.57140000000000002</v>
      </c>
    </row>
    <row r="8" spans="1:6" ht="15" customHeight="1">
      <c r="A8" s="17" t="str">
        <f>'Raw Data'!R5</f>
        <v>One97 Communications Ltd (Paytm)_2024</v>
      </c>
      <c r="B8" s="35">
        <f>IFERROR(ROUND(SUMIF('Raw Data'!$R:$R,$A8,'Raw Data'!$I:$I)/SUMIF('Raw Data'!$R:$R,$A8,'Raw Data'!$F:$F),4),"NA")</f>
        <v>4.7899999999999998E-2</v>
      </c>
      <c r="C8" s="35">
        <f>IFERROR(ROUND(SUMIF('Raw Data'!$R:$R,$A8,'Raw Data'!$G:$G)/SUMIF('Raw Data'!$R:$R,$A8,'Raw Data'!$F:$F),4),"NA")</f>
        <v>0</v>
      </c>
      <c r="D8" s="35">
        <f>IFERROR(ROUND(SUMIF('Raw Data'!$R:$R,$A8,'Raw Data'!$K:$K)/SUMIF('Raw Data'!$R:$R,$A8,'Raw Data'!$F:$F),4),"NA")</f>
        <v>-8.3000000000000004E-2</v>
      </c>
      <c r="E8" s="36">
        <f>IFERROR(ROUND(LN(SUMIF('Raw Data'!$R:$R,$A8,'Raw Data'!$F:$F)),4),"NA")</f>
        <v>9.7491000000000003</v>
      </c>
      <c r="F8" s="35">
        <f>IFERROR(ROUND(SUMIF('Raw Data'!$R:$R,$A8,'Raw Data'!$N:$N)/SUMIF('Raw Data'!$R:$R,$A8,'Raw Data'!$M:$M),4),"NA")</f>
        <v>0.57140000000000002</v>
      </c>
    </row>
    <row r="9" spans="1:6" ht="15" customHeight="1">
      <c r="A9" s="17" t="str">
        <f>'Raw Data'!R6</f>
        <v>PB Fintech Ltd (Policybazaar)_2021</v>
      </c>
      <c r="B9" s="35">
        <f>IFERROR(ROUND(SUMIF('Raw Data'!$R:$R,$A9,'Raw Data'!$I:$I)/SUMIF('Raw Data'!$R:$R,$A9,'Raw Data'!$F:$F),4),"NA")</f>
        <v>2.5000000000000001E-3</v>
      </c>
      <c r="C9" s="35">
        <f>IFERROR(ROUND(SUMIF('Raw Data'!$R:$R,$A9,'Raw Data'!$G:$G)/SUMIF('Raw Data'!$R:$R,$A9,'Raw Data'!$F:$F),4),"NA")</f>
        <v>0</v>
      </c>
      <c r="D9" s="35">
        <f>IFERROR(ROUND(SUMIF('Raw Data'!$R:$R,$A9,'Raw Data'!$K:$K)/SUMIF('Raw Data'!$R:$R,$A9,'Raw Data'!$F:$F),4),"NA")</f>
        <v>-6.4500000000000002E-2</v>
      </c>
      <c r="E9" s="36">
        <f>IFERROR(ROUND(LN(SUMIF('Raw Data'!$R:$R,$A9,'Raw Data'!$F:$F)),4),"NA")</f>
        <v>7.7538999999999998</v>
      </c>
      <c r="F9" s="35" t="str">
        <f>IFERROR(ROUND(SUMIF('Raw Data'!$R:$R,$A9,'Raw Data'!$N:$N)/SUMIF('Raw Data'!$R:$R,$A9,'Raw Data'!$M:$M),4),"NA")</f>
        <v>NA</v>
      </c>
    </row>
    <row r="10" spans="1:6" ht="15" customHeight="1">
      <c r="A10" s="17" t="str">
        <f>'Raw Data'!R7</f>
        <v>PB Fintech Ltd (Policybazaar)_2022</v>
      </c>
      <c r="B10" s="35">
        <f>IFERROR(ROUND(SUMIF('Raw Data'!$R:$R,$A10,'Raw Data'!$I:$I)/SUMIF('Raw Data'!$R:$R,$A10,'Raw Data'!$F:$F),4),"NA")</f>
        <v>5.4999999999999997E-3</v>
      </c>
      <c r="C10" s="35">
        <f>IFERROR(ROUND(SUMIF('Raw Data'!$R:$R,$A10,'Raw Data'!$G:$G)/SUMIF('Raw Data'!$R:$R,$A10,'Raw Data'!$F:$F),4),"NA")</f>
        <v>0</v>
      </c>
      <c r="D10" s="35">
        <f>IFERROR(ROUND(SUMIF('Raw Data'!$R:$R,$A10,'Raw Data'!$K:$K)/SUMIF('Raw Data'!$R:$R,$A10,'Raw Data'!$F:$F),4),"NA")</f>
        <v>-0.14080000000000001</v>
      </c>
      <c r="E10" s="36">
        <f>IFERROR(ROUND(LN(SUMIF('Raw Data'!$R:$R,$A10,'Raw Data'!$F:$F)),4),"NA")</f>
        <v>8.6852999999999998</v>
      </c>
      <c r="F10" s="35">
        <f>IFERROR(ROUND(SUMIF('Raw Data'!$R:$R,$A10,'Raw Data'!$N:$N)/SUMIF('Raw Data'!$R:$R,$A10,'Raw Data'!$M:$M),4),"NA")</f>
        <v>0.55559999999999998</v>
      </c>
    </row>
    <row r="11" spans="1:6" ht="15" customHeight="1">
      <c r="A11" s="17" t="str">
        <f>'Raw Data'!R8</f>
        <v>PB Fintech Ltd (Policybazaar)_2023</v>
      </c>
      <c r="B11" s="35">
        <f>IFERROR(ROUND(SUMIF('Raw Data'!$R:$R,$A11,'Raw Data'!$I:$I)/SUMIF('Raw Data'!$R:$R,$A11,'Raw Data'!$F:$F),4),"NA")</f>
        <v>1.0500000000000001E-2</v>
      </c>
      <c r="C11" s="35">
        <f>IFERROR(ROUND(SUMIF('Raw Data'!$R:$R,$A11,'Raw Data'!$G:$G)/SUMIF('Raw Data'!$R:$R,$A11,'Raw Data'!$F:$F),4),"NA")</f>
        <v>0</v>
      </c>
      <c r="D11" s="35">
        <f>IFERROR(ROUND(SUMIF('Raw Data'!$R:$R,$A11,'Raw Data'!$K:$K)/SUMIF('Raw Data'!$R:$R,$A11,'Raw Data'!$F:$F),4),"NA")</f>
        <v>-7.8E-2</v>
      </c>
      <c r="E11" s="36">
        <f>IFERROR(ROUND(LN(SUMIF('Raw Data'!$R:$R,$A11,'Raw Data'!$F:$F)),4),"NA")</f>
        <v>8.7409999999999997</v>
      </c>
      <c r="F11" s="35">
        <f>IFERROR(ROUND(SUMIF('Raw Data'!$R:$R,$A11,'Raw Data'!$N:$N)/SUMIF('Raw Data'!$R:$R,$A11,'Raw Data'!$M:$M),4),"NA")</f>
        <v>0.55559999999999998</v>
      </c>
    </row>
    <row r="12" spans="1:6" ht="15" customHeight="1">
      <c r="A12" s="17" t="str">
        <f>'Raw Data'!R9</f>
        <v>PB Fintech Ltd (Policybazaar)_2024</v>
      </c>
      <c r="B12" s="35">
        <f>IFERROR(ROUND(SUMIF('Raw Data'!$R:$R,$A12,'Raw Data'!$I:$I)/SUMIF('Raw Data'!$R:$R,$A12,'Raw Data'!$F:$F),4),"NA")</f>
        <v>9.4000000000000004E-3</v>
      </c>
      <c r="C12" s="35">
        <f>IFERROR(ROUND(SUMIF('Raw Data'!$R:$R,$A12,'Raw Data'!$G:$G)/SUMIF('Raw Data'!$R:$R,$A12,'Raw Data'!$F:$F),4),"NA")</f>
        <v>0</v>
      </c>
      <c r="D12" s="35">
        <f>IFERROR(ROUND(SUMIF('Raw Data'!$R:$R,$A12,'Raw Data'!$K:$K)/SUMIF('Raw Data'!$R:$R,$A12,'Raw Data'!$F:$F),4),"NA")</f>
        <v>9.5999999999999992E-3</v>
      </c>
      <c r="E12" s="36">
        <f>IFERROR(ROUND(LN(SUMIF('Raw Data'!$R:$R,$A12,'Raw Data'!$F:$F)),4),"NA")</f>
        <v>8.8140999999999998</v>
      </c>
      <c r="F12" s="35">
        <f>IFERROR(ROUND(SUMIF('Raw Data'!$R:$R,$A12,'Raw Data'!$N:$N)/SUMIF('Raw Data'!$R:$R,$A12,'Raw Data'!$M:$M),4),"NA")</f>
        <v>0.55559999999999998</v>
      </c>
    </row>
    <row r="13" spans="1:6" ht="15" customHeight="1">
      <c r="A13" s="17" t="str">
        <f>'Raw Data'!R10</f>
        <v>Computer Age Management Services Ltd (CAMS)_2021</v>
      </c>
      <c r="B13" s="35">
        <f>IFERROR(ROUND(SUMIF('Raw Data'!$R:$R,$A13,'Raw Data'!$I:$I)/SUMIF('Raw Data'!$R:$R,$A13,'Raw Data'!$F:$F),4),"NA")</f>
        <v>3.1699999999999999E-2</v>
      </c>
      <c r="C13" s="35">
        <f>IFERROR(ROUND(SUMIF('Raw Data'!$R:$R,$A13,'Raw Data'!$G:$G)/SUMIF('Raw Data'!$R:$R,$A13,'Raw Data'!$F:$F),4),"NA")</f>
        <v>0</v>
      </c>
      <c r="D13" s="35">
        <f>IFERROR(ROUND(SUMIF('Raw Data'!$R:$R,$A13,'Raw Data'!$K:$K)/SUMIF('Raw Data'!$R:$R,$A13,'Raw Data'!$F:$F),4),"NA")</f>
        <v>0.24379999999999999</v>
      </c>
      <c r="E13" s="36">
        <f>IFERROR(ROUND(LN(SUMIF('Raw Data'!$R:$R,$A13,'Raw Data'!$F:$F)),4),"NA")</f>
        <v>6.7356999999999996</v>
      </c>
      <c r="F13" s="35">
        <f>IFERROR(ROUND(SUMIF('Raw Data'!$R:$R,$A13,'Raw Data'!$N:$N)/SUMIF('Raw Data'!$R:$R,$A13,'Raw Data'!$M:$M),4),"NA")</f>
        <v>0.42859999999999998</v>
      </c>
    </row>
    <row r="14" spans="1:6" ht="15" customHeight="1">
      <c r="A14" s="17" t="str">
        <f>'Raw Data'!R11</f>
        <v>Computer Age Management Services Ltd (CAMS)_2022</v>
      </c>
      <c r="B14" s="35">
        <f>IFERROR(ROUND(SUMIF('Raw Data'!$R:$R,$A14,'Raw Data'!$I:$I)/SUMIF('Raw Data'!$R:$R,$A14,'Raw Data'!$F:$F),4),"NA")</f>
        <v>6.5000000000000002E-2</v>
      </c>
      <c r="C14" s="35">
        <f>IFERROR(ROUND(SUMIF('Raw Data'!$R:$R,$A14,'Raw Data'!$G:$G)/SUMIF('Raw Data'!$R:$R,$A14,'Raw Data'!$F:$F),4),"NA")</f>
        <v>0</v>
      </c>
      <c r="D14" s="35">
        <f>IFERROR(ROUND(SUMIF('Raw Data'!$R:$R,$A14,'Raw Data'!$K:$K)/SUMIF('Raw Data'!$R:$R,$A14,'Raw Data'!$F:$F),4),"NA")</f>
        <v>0.29980000000000001</v>
      </c>
      <c r="E14" s="36">
        <f>IFERROR(ROUND(LN(SUMIF('Raw Data'!$R:$R,$A14,'Raw Data'!$F:$F)),4),"NA")</f>
        <v>6.8639000000000001</v>
      </c>
      <c r="F14" s="35">
        <f>IFERROR(ROUND(SUMIF('Raw Data'!$R:$R,$A14,'Raw Data'!$N:$N)/SUMIF('Raw Data'!$R:$R,$A14,'Raw Data'!$M:$M),4),"NA")</f>
        <v>0.42859999999999998</v>
      </c>
    </row>
    <row r="15" spans="1:6" ht="15" customHeight="1">
      <c r="A15" s="17" t="str">
        <f>'Raw Data'!R12</f>
        <v>Computer Age Management Services Ltd (CAMS)_2023</v>
      </c>
      <c r="B15" s="35">
        <f>IFERROR(ROUND(SUMIF('Raw Data'!$R:$R,$A15,'Raw Data'!$I:$I)/SUMIF('Raw Data'!$R:$R,$A15,'Raw Data'!$F:$F),4),"NA")</f>
        <v>4.0599999999999997E-2</v>
      </c>
      <c r="C15" s="35">
        <f>IFERROR(ROUND(SUMIF('Raw Data'!$R:$R,$A15,'Raw Data'!$G:$G)/SUMIF('Raw Data'!$R:$R,$A15,'Raw Data'!$F:$F),4),"NA")</f>
        <v>0</v>
      </c>
      <c r="D15" s="35">
        <f>IFERROR(ROUND(SUMIF('Raw Data'!$R:$R,$A15,'Raw Data'!$K:$K)/SUMIF('Raw Data'!$R:$R,$A15,'Raw Data'!$F:$F),4),"NA")</f>
        <v>0.25929999999999997</v>
      </c>
      <c r="E15" s="36">
        <f>IFERROR(ROUND(LN(SUMIF('Raw Data'!$R:$R,$A15,'Raw Data'!$F:$F)),4),"NA")</f>
        <v>7.0007999999999999</v>
      </c>
      <c r="F15" s="35">
        <f>IFERROR(ROUND(SUMIF('Raw Data'!$R:$R,$A15,'Raw Data'!$N:$N)/SUMIF('Raw Data'!$R:$R,$A15,'Raw Data'!$M:$M),4),"NA")</f>
        <v>0.42859999999999998</v>
      </c>
    </row>
    <row r="16" spans="1:6" ht="15" customHeight="1">
      <c r="A16" s="17" t="str">
        <f>'Raw Data'!R13</f>
        <v>Computer Age Management Services Ltd (CAMS)_2024</v>
      </c>
      <c r="B16" s="35">
        <f>IFERROR(ROUND(SUMIF('Raw Data'!$R:$R,$A16,'Raw Data'!$I:$I)/SUMIF('Raw Data'!$R:$R,$A16,'Raw Data'!$F:$F),4),"NA")</f>
        <v>3.5000000000000003E-2</v>
      </c>
      <c r="C16" s="35">
        <f>IFERROR(ROUND(SUMIF('Raw Data'!$R:$R,$A16,'Raw Data'!$G:$G)/SUMIF('Raw Data'!$R:$R,$A16,'Raw Data'!$F:$F),4),"NA")</f>
        <v>0</v>
      </c>
      <c r="D16" s="35">
        <f>IFERROR(ROUND(SUMIF('Raw Data'!$R:$R,$A16,'Raw Data'!$K:$K)/SUMIF('Raw Data'!$R:$R,$A16,'Raw Data'!$F:$F),4),"NA")</f>
        <v>0.31979999999999997</v>
      </c>
      <c r="E16" s="36">
        <f>IFERROR(ROUND(LN(SUMIF('Raw Data'!$R:$R,$A16,'Raw Data'!$F:$F)),4),"NA")</f>
        <v>7.0007999999999999</v>
      </c>
      <c r="F16" s="35">
        <f>IFERROR(ROUND(SUMIF('Raw Data'!$R:$R,$A16,'Raw Data'!$N:$N)/SUMIF('Raw Data'!$R:$R,$A16,'Raw Data'!$M:$M),4),"NA")</f>
        <v>0.5</v>
      </c>
    </row>
    <row r="17" spans="1:6" ht="15" customHeight="1">
      <c r="A17" s="17" t="str">
        <f>'Raw Data'!R14</f>
        <v>Central Depository Services (India) Ltd (CDSL)_2021</v>
      </c>
      <c r="B17" s="35">
        <f>IFERROR(ROUND(SUMIF('Raw Data'!$R:$R,$A17,'Raw Data'!$I:$I)/SUMIF('Raw Data'!$R:$R,$A17,'Raw Data'!$F:$F),4),"NA")</f>
        <v>7.7000000000000002E-3</v>
      </c>
      <c r="C17" s="35">
        <f>IFERROR(ROUND(SUMIF('Raw Data'!$R:$R,$A17,'Raw Data'!$G:$G)/SUMIF('Raw Data'!$R:$R,$A17,'Raw Data'!$F:$F),4),"NA")</f>
        <v>0</v>
      </c>
      <c r="D17" s="35">
        <f>IFERROR(ROUND(SUMIF('Raw Data'!$R:$R,$A17,'Raw Data'!$K:$K)/SUMIF('Raw Data'!$R:$R,$A17,'Raw Data'!$F:$F),4),"NA")</f>
        <v>0.1857</v>
      </c>
      <c r="E17" s="36">
        <f>IFERROR(ROUND(LN(SUMIF('Raw Data'!$R:$R,$A17,'Raw Data'!$F:$F)),4),"NA")</f>
        <v>6.9884000000000004</v>
      </c>
      <c r="F17" s="35">
        <f>IFERROR(ROUND(SUMIF('Raw Data'!$R:$R,$A17,'Raw Data'!$N:$N)/SUMIF('Raw Data'!$R:$R,$A17,'Raw Data'!$M:$M),4),"NA")</f>
        <v>0.625</v>
      </c>
    </row>
    <row r="18" spans="1:6" ht="15" customHeight="1">
      <c r="A18" s="17" t="str">
        <f>'Raw Data'!R15</f>
        <v>Central Depository Services (India) Ltd (CDSL)_2022</v>
      </c>
      <c r="B18" s="35">
        <f>IFERROR(ROUND(SUMIF('Raw Data'!$R:$R,$A18,'Raw Data'!$I:$I)/SUMIF('Raw Data'!$R:$R,$A18,'Raw Data'!$F:$F),4),"NA")</f>
        <v>3.3599999999999998E-2</v>
      </c>
      <c r="C18" s="35">
        <f>IFERROR(ROUND(SUMIF('Raw Data'!$R:$R,$A18,'Raw Data'!$G:$G)/SUMIF('Raw Data'!$R:$R,$A18,'Raw Data'!$F:$F),4),"NA")</f>
        <v>0</v>
      </c>
      <c r="D18" s="35">
        <f>IFERROR(ROUND(SUMIF('Raw Data'!$R:$R,$A18,'Raw Data'!$K:$K)/SUMIF('Raw Data'!$R:$R,$A18,'Raw Data'!$F:$F),4),"NA")</f>
        <v>0.23519999999999999</v>
      </c>
      <c r="E18" s="36">
        <f>IFERROR(ROUND(LN(SUMIF('Raw Data'!$R:$R,$A18,'Raw Data'!$F:$F)),4),"NA")</f>
        <v>7.1896000000000004</v>
      </c>
      <c r="F18" s="35">
        <f>IFERROR(ROUND(SUMIF('Raw Data'!$R:$R,$A18,'Raw Data'!$N:$N)/SUMIF('Raw Data'!$R:$R,$A18,'Raw Data'!$M:$M),4),"NA")</f>
        <v>0.625</v>
      </c>
    </row>
    <row r="19" spans="1:6" ht="15" customHeight="1">
      <c r="A19" s="17" t="str">
        <f>'Raw Data'!R16</f>
        <v>Central Depository Services (India) Ltd (CDSL)_2023</v>
      </c>
      <c r="B19" s="35">
        <f>IFERROR(ROUND(SUMIF('Raw Data'!$R:$R,$A19,'Raw Data'!$I:$I)/SUMIF('Raw Data'!$R:$R,$A19,'Raw Data'!$F:$F),4),"NA")</f>
        <v>0.1411</v>
      </c>
      <c r="C19" s="35">
        <f>IFERROR(ROUND(SUMIF('Raw Data'!$R:$R,$A19,'Raw Data'!$G:$G)/SUMIF('Raw Data'!$R:$R,$A19,'Raw Data'!$F:$F),4),"NA")</f>
        <v>0</v>
      </c>
      <c r="D19" s="35">
        <f>IFERROR(ROUND(SUMIF('Raw Data'!$R:$R,$A19,'Raw Data'!$K:$K)/SUMIF('Raw Data'!$R:$R,$A19,'Raw Data'!$F:$F),4),"NA")</f>
        <v>0.18940000000000001</v>
      </c>
      <c r="E19" s="36">
        <f>IFERROR(ROUND(LN(SUMIF('Raw Data'!$R:$R,$A19,'Raw Data'!$F:$F)),4),"NA")</f>
        <v>7.2843</v>
      </c>
      <c r="F19" s="35">
        <f>IFERROR(ROUND(SUMIF('Raw Data'!$R:$R,$A19,'Raw Data'!$N:$N)/SUMIF('Raw Data'!$R:$R,$A19,'Raw Data'!$M:$M),4),"NA")</f>
        <v>0.66669999999999996</v>
      </c>
    </row>
    <row r="20" spans="1:6" ht="15" customHeight="1">
      <c r="A20" s="17" t="str">
        <f>'Raw Data'!R17</f>
        <v>Central Depository Services (India) Ltd (CDSL)_2024</v>
      </c>
      <c r="B20" s="35">
        <f>IFERROR(ROUND(SUMIF('Raw Data'!$R:$R,$A20,'Raw Data'!$I:$I)/SUMIF('Raw Data'!$R:$R,$A20,'Raw Data'!$F:$F),4),"NA")</f>
        <v>4.1200000000000001E-2</v>
      </c>
      <c r="C20" s="35">
        <f>IFERROR(ROUND(SUMIF('Raw Data'!$R:$R,$A20,'Raw Data'!$G:$G)/SUMIF('Raw Data'!$R:$R,$A20,'Raw Data'!$F:$F),4),"NA")</f>
        <v>0</v>
      </c>
      <c r="D20" s="35">
        <f>IFERROR(ROUND(SUMIF('Raw Data'!$R:$R,$A20,'Raw Data'!$K:$K)/SUMIF('Raw Data'!$R:$R,$A20,'Raw Data'!$F:$F),4),"NA")</f>
        <v>0.23549999999999999</v>
      </c>
      <c r="E20" s="36">
        <f>IFERROR(ROUND(LN(SUMIF('Raw Data'!$R:$R,$A20,'Raw Data'!$F:$F)),4),"NA")</f>
        <v>7.4852999999999996</v>
      </c>
      <c r="F20" s="35">
        <f>IFERROR(ROUND(SUMIF('Raw Data'!$R:$R,$A20,'Raw Data'!$N:$N)/SUMIF('Raw Data'!$R:$R,$A20,'Raw Data'!$M:$M),4),"NA")</f>
        <v>0.66669999999999996</v>
      </c>
    </row>
    <row r="21" spans="1:6" ht="15" customHeight="1">
      <c r="A21" s="17" t="str">
        <f>'Raw Data'!R18</f>
        <v>BSE Ltd_2021</v>
      </c>
      <c r="B21" s="35">
        <f>IFERROR(ROUND(SUMIF('Raw Data'!$R:$R,$A21,'Raw Data'!$I:$I)/SUMIF('Raw Data'!$R:$R,$A21,'Raw Data'!$F:$F),4),"NA")</f>
        <v>8.3000000000000001E-3</v>
      </c>
      <c r="C21" s="35">
        <f>IFERROR(ROUND(SUMIF('Raw Data'!$R:$R,$A21,'Raw Data'!$G:$G)/SUMIF('Raw Data'!$R:$R,$A21,'Raw Data'!$F:$F),4),"NA")</f>
        <v>0</v>
      </c>
      <c r="D21" s="35">
        <f>IFERROR(ROUND(SUMIF('Raw Data'!$R:$R,$A21,'Raw Data'!$K:$K)/SUMIF('Raw Data'!$R:$R,$A21,'Raw Data'!$F:$F),4),"NA")</f>
        <v>3.0599999999999999E-2</v>
      </c>
      <c r="E21" s="36">
        <f>IFERROR(ROUND(LN(SUMIF('Raw Data'!$R:$R,$A21,'Raw Data'!$F:$F)),4),"NA")</f>
        <v>8.4397000000000002</v>
      </c>
      <c r="F21" s="35">
        <f>IFERROR(ROUND(SUMIF('Raw Data'!$R:$R,$A21,'Raw Data'!$N:$N)/SUMIF('Raw Data'!$R:$R,$A21,'Raw Data'!$M:$M),4),"NA")</f>
        <v>0.75</v>
      </c>
    </row>
    <row r="22" spans="1:6" ht="15" customHeight="1">
      <c r="A22" s="17" t="str">
        <f>'Raw Data'!R19</f>
        <v>BSE Ltd_2022</v>
      </c>
      <c r="B22" s="35">
        <f>IFERROR(ROUND(SUMIF('Raw Data'!$R:$R,$A22,'Raw Data'!$I:$I)/SUMIF('Raw Data'!$R:$R,$A22,'Raw Data'!$F:$F),4),"NA")</f>
        <v>5.1999999999999998E-3</v>
      </c>
      <c r="C22" s="35">
        <f>IFERROR(ROUND(SUMIF('Raw Data'!$R:$R,$A22,'Raw Data'!$G:$G)/SUMIF('Raw Data'!$R:$R,$A22,'Raw Data'!$F:$F),4),"NA")</f>
        <v>0</v>
      </c>
      <c r="D22" s="35">
        <f>IFERROR(ROUND(SUMIF('Raw Data'!$R:$R,$A22,'Raw Data'!$K:$K)/SUMIF('Raw Data'!$R:$R,$A22,'Raw Data'!$F:$F),4),"NA")</f>
        <v>3.9600000000000003E-2</v>
      </c>
      <c r="E22" s="36">
        <f>IFERROR(ROUND(LN(SUMIF('Raw Data'!$R:$R,$A22,'Raw Data'!$F:$F)),4),"NA")</f>
        <v>8.7299000000000007</v>
      </c>
      <c r="F22" s="35">
        <f>IFERROR(ROUND(SUMIF('Raw Data'!$R:$R,$A22,'Raw Data'!$N:$N)/SUMIF('Raw Data'!$R:$R,$A22,'Raw Data'!$M:$M),4),"NA")</f>
        <v>0.75</v>
      </c>
    </row>
    <row r="23" spans="1:6" ht="15" customHeight="1">
      <c r="A23" s="17" t="str">
        <f>'Raw Data'!R20</f>
        <v>BSE Ltd_2023</v>
      </c>
      <c r="B23" s="35">
        <f>IFERROR(ROUND(SUMIF('Raw Data'!$R:$R,$A23,'Raw Data'!$I:$I)/SUMIF('Raw Data'!$R:$R,$A23,'Raw Data'!$F:$F),4),"NA")</f>
        <v>2.3900000000000001E-2</v>
      </c>
      <c r="C23" s="35">
        <f>IFERROR(ROUND(SUMIF('Raw Data'!$R:$R,$A23,'Raw Data'!$G:$G)/SUMIF('Raw Data'!$R:$R,$A23,'Raw Data'!$F:$F),4),"NA")</f>
        <v>0</v>
      </c>
      <c r="D23" s="35">
        <f>IFERROR(ROUND(SUMIF('Raw Data'!$R:$R,$A23,'Raw Data'!$K:$K)/SUMIF('Raw Data'!$R:$R,$A23,'Raw Data'!$F:$F),4),"NA")</f>
        <v>2.7799999999999998E-2</v>
      </c>
      <c r="E23" s="36">
        <f>IFERROR(ROUND(LN(SUMIF('Raw Data'!$R:$R,$A23,'Raw Data'!$F:$F)),4),"NA")</f>
        <v>8.6984999999999992</v>
      </c>
      <c r="F23" s="35">
        <f>IFERROR(ROUND(SUMIF('Raw Data'!$R:$R,$A23,'Raw Data'!$N:$N)/SUMIF('Raw Data'!$R:$R,$A23,'Raw Data'!$M:$M),4),"NA")</f>
        <v>0.77780000000000005</v>
      </c>
    </row>
    <row r="24" spans="1:6" ht="15" customHeight="1">
      <c r="A24" s="17" t="str">
        <f>'Raw Data'!R21</f>
        <v>BSE Ltd_2024</v>
      </c>
      <c r="B24" s="35">
        <f>IFERROR(ROUND(SUMIF('Raw Data'!$R:$R,$A24,'Raw Data'!$I:$I)/SUMIF('Raw Data'!$R:$R,$A24,'Raw Data'!$F:$F),4),"NA")</f>
        <v>1.3899999999999999E-2</v>
      </c>
      <c r="C24" s="35">
        <f>IFERROR(ROUND(SUMIF('Raw Data'!$R:$R,$A24,'Raw Data'!$G:$G)/SUMIF('Raw Data'!$R:$R,$A24,'Raw Data'!$F:$F),4),"NA")</f>
        <v>0</v>
      </c>
      <c r="D24" s="35">
        <f>IFERROR(ROUND(SUMIF('Raw Data'!$R:$R,$A24,'Raw Data'!$K:$K)/SUMIF('Raw Data'!$R:$R,$A24,'Raw Data'!$F:$F),4),"NA")</f>
        <v>7.9699999999999993E-2</v>
      </c>
      <c r="E24" s="36">
        <f>IFERROR(ROUND(LN(SUMIF('Raw Data'!$R:$R,$A24,'Raw Data'!$F:$F)),4),"NA")</f>
        <v>9.1538000000000004</v>
      </c>
      <c r="F24" s="35">
        <f>IFERROR(ROUND(SUMIF('Raw Data'!$R:$R,$A24,'Raw Data'!$N:$N)/SUMIF('Raw Data'!$R:$R,$A24,'Raw Data'!$M:$M),4),"NA")</f>
        <v>0.77780000000000005</v>
      </c>
    </row>
    <row r="25" spans="1:6" ht="15" customHeight="1">
      <c r="A25" s="17" t="str">
        <f>'Raw Data'!R22</f>
        <v>Angel One Ltd_2021</v>
      </c>
      <c r="B25" s="35">
        <f>IFERROR(ROUND(SUMIF('Raw Data'!$R:$R,$A25,'Raw Data'!$I:$I)/SUMIF('Raw Data'!$R:$R,$A25,'Raw Data'!$F:$F),4),"NA")</f>
        <v>3.0000000000000001E-3</v>
      </c>
      <c r="C25" s="35">
        <f>IFERROR(ROUND(SUMIF('Raw Data'!$R:$R,$A25,'Raw Data'!$G:$G)/SUMIF('Raw Data'!$R:$R,$A25,'Raw Data'!$F:$F),4),"NA")</f>
        <v>0.24340000000000001</v>
      </c>
      <c r="D25" s="35">
        <f>IFERROR(ROUND(SUMIF('Raw Data'!$R:$R,$A25,'Raw Data'!$K:$K)/SUMIF('Raw Data'!$R:$R,$A25,'Raw Data'!$F:$F),4),"NA")</f>
        <v>6.1699999999999998E-2</v>
      </c>
      <c r="E25" s="36">
        <f>IFERROR(ROUND(LN(SUMIF('Raw Data'!$R:$R,$A25,'Raw Data'!$F:$F)),4),"NA")</f>
        <v>8.4792000000000005</v>
      </c>
      <c r="F25" s="35">
        <f>IFERROR(ROUND(SUMIF('Raw Data'!$R:$R,$A25,'Raw Data'!$N:$N)/SUMIF('Raw Data'!$R:$R,$A25,'Raw Data'!$M:$M),4),"NA")</f>
        <v>0.5</v>
      </c>
    </row>
    <row r="26" spans="1:6" ht="15" customHeight="1">
      <c r="A26" s="17" t="str">
        <f>'Raw Data'!R23</f>
        <v>Angel One Ltd_2022</v>
      </c>
      <c r="B26" s="35">
        <f>IFERROR(ROUND(SUMIF('Raw Data'!$R:$R,$A26,'Raw Data'!$I:$I)/SUMIF('Raw Data'!$R:$R,$A26,'Raw Data'!$F:$F),4),"NA")</f>
        <v>9.7000000000000003E-3</v>
      </c>
      <c r="C26" s="35">
        <f>IFERROR(ROUND(SUMIF('Raw Data'!$R:$R,$A26,'Raw Data'!$G:$G)/SUMIF('Raw Data'!$R:$R,$A26,'Raw Data'!$F:$F),4),"NA")</f>
        <v>0.17419999999999999</v>
      </c>
      <c r="D26" s="35">
        <f>IFERROR(ROUND(SUMIF('Raw Data'!$R:$R,$A26,'Raw Data'!$K:$K)/SUMIF('Raw Data'!$R:$R,$A26,'Raw Data'!$F:$F),4),"NA")</f>
        <v>8.6499999999999994E-2</v>
      </c>
      <c r="E26" s="36">
        <f>IFERROR(ROUND(LN(SUMIF('Raw Data'!$R:$R,$A26,'Raw Data'!$F:$F)),4),"NA")</f>
        <v>8.8846000000000007</v>
      </c>
      <c r="F26" s="35">
        <f>IFERROR(ROUND(SUMIF('Raw Data'!$R:$R,$A26,'Raw Data'!$N:$N)/SUMIF('Raw Data'!$R:$R,$A26,'Raw Data'!$M:$M),4),"NA")</f>
        <v>0.57140000000000002</v>
      </c>
    </row>
    <row r="27" spans="1:6" ht="15" customHeight="1">
      <c r="A27" s="17" t="str">
        <f>'Raw Data'!R24</f>
        <v>Angel One Ltd_2023</v>
      </c>
      <c r="B27" s="35">
        <f>IFERROR(ROUND(SUMIF('Raw Data'!$R:$R,$A27,'Raw Data'!$I:$I)/SUMIF('Raw Data'!$R:$R,$A27,'Raw Data'!$F:$F),4),"NA")</f>
        <v>1.5299999999999999E-2</v>
      </c>
      <c r="C27" s="35">
        <f>IFERROR(ROUND(SUMIF('Raw Data'!$R:$R,$A27,'Raw Data'!$G:$G)/SUMIF('Raw Data'!$R:$R,$A27,'Raw Data'!$F:$F),4),"NA")</f>
        <v>0.10539999999999999</v>
      </c>
      <c r="D27" s="35">
        <f>IFERROR(ROUND(SUMIF('Raw Data'!$R:$R,$A27,'Raw Data'!$K:$K)/SUMIF('Raw Data'!$R:$R,$A27,'Raw Data'!$F:$F),4),"NA")</f>
        <v>0.11899999999999999</v>
      </c>
      <c r="E27" s="36">
        <f>IFERROR(ROUND(LN(SUMIF('Raw Data'!$R:$R,$A27,'Raw Data'!$F:$F)),4),"NA")</f>
        <v>8.9197000000000006</v>
      </c>
      <c r="F27" s="35">
        <f>IFERROR(ROUND(SUMIF('Raw Data'!$R:$R,$A27,'Raw Data'!$N:$N)/SUMIF('Raw Data'!$R:$R,$A27,'Raw Data'!$M:$M),4),"NA")</f>
        <v>0.66669999999999996</v>
      </c>
    </row>
    <row r="28" spans="1:6" ht="15" customHeight="1">
      <c r="A28" s="17" t="str">
        <f>'Raw Data'!R25</f>
        <v>Angel One Ltd_2024</v>
      </c>
      <c r="B28" s="35">
        <f>IFERROR(ROUND(SUMIF('Raw Data'!$R:$R,$A28,'Raw Data'!$I:$I)/SUMIF('Raw Data'!$R:$R,$A28,'Raw Data'!$F:$F),4),"NA")</f>
        <v>1.5699999999999999E-2</v>
      </c>
      <c r="C28" s="35">
        <f>IFERROR(ROUND(SUMIF('Raw Data'!$R:$R,$A28,'Raw Data'!$G:$G)/SUMIF('Raw Data'!$R:$R,$A28,'Raw Data'!$F:$F),4),"NA")</f>
        <v>0.1913</v>
      </c>
      <c r="D28" s="35">
        <f>IFERROR(ROUND(SUMIF('Raw Data'!$R:$R,$A28,'Raw Data'!$K:$K)/SUMIF('Raw Data'!$R:$R,$A28,'Raw Data'!$F:$F),4),"NA")</f>
        <v>8.4900000000000003E-2</v>
      </c>
      <c r="E28" s="36">
        <f>IFERROR(ROUND(LN(SUMIF('Raw Data'!$R:$R,$A28,'Raw Data'!$F:$F)),4),"NA")</f>
        <v>9.4920000000000009</v>
      </c>
      <c r="F28" s="35">
        <f>IFERROR(ROUND(SUMIF('Raw Data'!$R:$R,$A28,'Raw Data'!$N:$N)/SUMIF('Raw Data'!$R:$R,$A28,'Raw Data'!$M:$M),4),"NA")</f>
        <v>0.55559999999999998</v>
      </c>
    </row>
    <row r="29" spans="1:6" ht="15" customHeight="1">
      <c r="A29" s="17" t="str">
        <f>'Raw Data'!R26</f>
        <v>5paisa Capital Ltd_2021</v>
      </c>
      <c r="B29" s="35">
        <f>IFERROR(ROUND(SUMIF('Raw Data'!$R:$R,$A29,'Raw Data'!$I:$I)/SUMIF('Raw Data'!$R:$R,$A29,'Raw Data'!$F:$F),4),"NA")</f>
        <v>4.7999999999999996E-3</v>
      </c>
      <c r="C29" s="35">
        <f>IFERROR(ROUND(SUMIF('Raw Data'!$R:$R,$A29,'Raw Data'!$G:$G)/SUMIF('Raw Data'!$R:$R,$A29,'Raw Data'!$F:$F),4),"NA")</f>
        <v>0.26979999999999998</v>
      </c>
      <c r="D29" s="35">
        <f>IFERROR(ROUND(SUMIF('Raw Data'!$R:$R,$A29,'Raw Data'!$K:$K)/SUMIF('Raw Data'!$R:$R,$A29,'Raw Data'!$F:$F),4),"NA")</f>
        <v>1.6899999999999998E-2</v>
      </c>
      <c r="E29" s="36">
        <f>IFERROR(ROUND(LN(SUMIF('Raw Data'!$R:$R,$A29,'Raw Data'!$F:$F)),4),"NA")</f>
        <v>6.7648999999999999</v>
      </c>
      <c r="F29" s="35">
        <f>IFERROR(ROUND(SUMIF('Raw Data'!$R:$R,$A29,'Raw Data'!$N:$N)/SUMIF('Raw Data'!$R:$R,$A29,'Raw Data'!$M:$M),4),"NA")</f>
        <v>0.57140000000000002</v>
      </c>
    </row>
    <row r="30" spans="1:6" ht="15" customHeight="1">
      <c r="A30" s="17" t="str">
        <f>'Raw Data'!R27</f>
        <v>5paisa Capital Ltd_2022</v>
      </c>
      <c r="B30" s="35">
        <f>IFERROR(ROUND(SUMIF('Raw Data'!$R:$R,$A30,'Raw Data'!$I:$I)/SUMIF('Raw Data'!$R:$R,$A30,'Raw Data'!$F:$F),4),"NA")</f>
        <v>4.5999999999999999E-3</v>
      </c>
      <c r="C30" s="35">
        <f>IFERROR(ROUND(SUMIF('Raw Data'!$R:$R,$A30,'Raw Data'!$G:$G)/SUMIF('Raw Data'!$R:$R,$A30,'Raw Data'!$F:$F),4),"NA")</f>
        <v>0.1734</v>
      </c>
      <c r="D30" s="35">
        <f>IFERROR(ROUND(SUMIF('Raw Data'!$R:$R,$A30,'Raw Data'!$K:$K)/SUMIF('Raw Data'!$R:$R,$A30,'Raw Data'!$F:$F),4),"NA")</f>
        <v>8.5000000000000006E-3</v>
      </c>
      <c r="E30" s="36">
        <f>IFERROR(ROUND(LN(SUMIF('Raw Data'!$R:$R,$A30,'Raw Data'!$F:$F)),4),"NA")</f>
        <v>7.3830999999999998</v>
      </c>
      <c r="F30" s="35">
        <f>IFERROR(ROUND(SUMIF('Raw Data'!$R:$R,$A30,'Raw Data'!$N:$N)/SUMIF('Raw Data'!$R:$R,$A30,'Raw Data'!$M:$M),4),"NA")</f>
        <v>0.57140000000000002</v>
      </c>
    </row>
    <row r="31" spans="1:6" ht="15" customHeight="1">
      <c r="A31" s="17" t="str">
        <f>'Raw Data'!R28</f>
        <v>5paisa Capital Ltd_2023</v>
      </c>
      <c r="B31" s="35">
        <f>IFERROR(ROUND(SUMIF('Raw Data'!$R:$R,$A31,'Raw Data'!$I:$I)/SUMIF('Raw Data'!$R:$R,$A31,'Raw Data'!$F:$F),4),"NA")</f>
        <v>8.3000000000000001E-3</v>
      </c>
      <c r="C31" s="35">
        <f>IFERROR(ROUND(SUMIF('Raw Data'!$R:$R,$A31,'Raw Data'!$G:$G)/SUMIF('Raw Data'!$R:$R,$A31,'Raw Data'!$F:$F),4),"NA")</f>
        <v>0.1031</v>
      </c>
      <c r="D31" s="35">
        <f>IFERROR(ROUND(SUMIF('Raw Data'!$R:$R,$A31,'Raw Data'!$K:$K)/SUMIF('Raw Data'!$R:$R,$A31,'Raw Data'!$F:$F),4),"NA")</f>
        <v>2.6499999999999999E-2</v>
      </c>
      <c r="E31" s="36">
        <f>IFERROR(ROUND(LN(SUMIF('Raw Data'!$R:$R,$A31,'Raw Data'!$F:$F)),4),"NA")</f>
        <v>7.4034000000000004</v>
      </c>
      <c r="F31" s="35">
        <f>IFERROR(ROUND(SUMIF('Raw Data'!$R:$R,$A31,'Raw Data'!$N:$N)/SUMIF('Raw Data'!$R:$R,$A31,'Raw Data'!$M:$M),4),"NA")</f>
        <v>0.66669999999999996</v>
      </c>
    </row>
    <row r="32" spans="1:6" ht="15" customHeight="1">
      <c r="A32" s="17" t="str">
        <f>'Raw Data'!R29</f>
        <v>5paisa Capital Ltd_2024</v>
      </c>
      <c r="B32" s="35">
        <f>IFERROR(ROUND(SUMIF('Raw Data'!$R:$R,$A32,'Raw Data'!$I:$I)/SUMIF('Raw Data'!$R:$R,$A32,'Raw Data'!$F:$F),4),"NA")</f>
        <v>9.4999999999999998E-3</v>
      </c>
      <c r="C32" s="35">
        <f>IFERROR(ROUND(SUMIF('Raw Data'!$R:$R,$A32,'Raw Data'!$G:$G)/SUMIF('Raw Data'!$R:$R,$A32,'Raw Data'!$F:$F),4),"NA")</f>
        <v>0.16420000000000001</v>
      </c>
      <c r="D32" s="35">
        <f>IFERROR(ROUND(SUMIF('Raw Data'!$R:$R,$A32,'Raw Data'!$K:$K)/SUMIF('Raw Data'!$R:$R,$A32,'Raw Data'!$F:$F),4),"NA")</f>
        <v>2.6599999999999999E-2</v>
      </c>
      <c r="E32" s="36">
        <f>IFERROR(ROUND(LN(SUMIF('Raw Data'!$R:$R,$A32,'Raw Data'!$F:$F)),4),"NA")</f>
        <v>7.6245000000000003</v>
      </c>
      <c r="F32" s="35">
        <f>IFERROR(ROUND(SUMIF('Raw Data'!$R:$R,$A32,'Raw Data'!$N:$N)/SUMIF('Raw Data'!$R:$R,$A32,'Raw Data'!$M:$M),4),"NA")</f>
        <v>0.66669999999999996</v>
      </c>
    </row>
    <row r="33" spans="1:6" ht="15" customHeight="1">
      <c r="A33" s="17" t="str">
        <f>'Raw Data'!R30</f>
        <v>Infibeam Avenues Ltd_2021</v>
      </c>
      <c r="B33" s="35">
        <f>IFERROR(ROUND(SUMIF('Raw Data'!$R:$R,$A33,'Raw Data'!$I:$I)/SUMIF('Raw Data'!$R:$R,$A33,'Raw Data'!$F:$F),4),"NA")</f>
        <v>2.3699999999999999E-2</v>
      </c>
      <c r="C33" s="35">
        <f>IFERROR(ROUND(SUMIF('Raw Data'!$R:$R,$A33,'Raw Data'!$G:$G)/SUMIF('Raw Data'!$R:$R,$A33,'Raw Data'!$F:$F),4),"NA")</f>
        <v>5.5999999999999999E-3</v>
      </c>
      <c r="D33" s="35">
        <f>IFERROR(ROUND(SUMIF('Raw Data'!$R:$R,$A33,'Raw Data'!$K:$K)/SUMIF('Raw Data'!$R:$R,$A33,'Raw Data'!$F:$F),4),"NA")</f>
        <v>1.9800000000000002E-2</v>
      </c>
      <c r="E33" s="36">
        <f>IFERROR(ROUND(LN(SUMIF('Raw Data'!$R:$R,$A33,'Raw Data'!$F:$F)),4),"NA")</f>
        <v>8.1745999999999999</v>
      </c>
      <c r="F33" s="35">
        <f>IFERROR(ROUND(SUMIF('Raw Data'!$R:$R,$A33,'Raw Data'!$N:$N)/SUMIF('Raw Data'!$R:$R,$A33,'Raw Data'!$M:$M),4),"NA")</f>
        <v>0.57140000000000002</v>
      </c>
    </row>
    <row r="34" spans="1:6" ht="15" customHeight="1">
      <c r="A34" s="17" t="str">
        <f>'Raw Data'!R31</f>
        <v>Infibeam Avenues Ltd_2022</v>
      </c>
      <c r="B34" s="35">
        <f>IFERROR(ROUND(SUMIF('Raw Data'!$R:$R,$A34,'Raw Data'!$I:$I)/SUMIF('Raw Data'!$R:$R,$A34,'Raw Data'!$F:$F),4),"NA")</f>
        <v>2.1299999999999999E-2</v>
      </c>
      <c r="C34" s="35">
        <f>IFERROR(ROUND(SUMIF('Raw Data'!$R:$R,$A34,'Raw Data'!$G:$G)/SUMIF('Raw Data'!$R:$R,$A34,'Raw Data'!$F:$F),4),"NA")</f>
        <v>1E-4</v>
      </c>
      <c r="D34" s="35">
        <f>IFERROR(ROUND(SUMIF('Raw Data'!$R:$R,$A34,'Raw Data'!$K:$K)/SUMIF('Raw Data'!$R:$R,$A34,'Raw Data'!$F:$F),4),"NA")</f>
        <v>2.1700000000000001E-2</v>
      </c>
      <c r="E34" s="36">
        <f>IFERROR(ROUND(LN(SUMIF('Raw Data'!$R:$R,$A34,'Raw Data'!$F:$F)),4),"NA")</f>
        <v>8.2569999999999997</v>
      </c>
      <c r="F34" s="35">
        <f>IFERROR(ROUND(SUMIF('Raw Data'!$R:$R,$A34,'Raw Data'!$N:$N)/SUMIF('Raw Data'!$R:$R,$A34,'Raw Data'!$M:$M),4),"NA")</f>
        <v>0.57140000000000002</v>
      </c>
    </row>
    <row r="35" spans="1:6" ht="15" customHeight="1">
      <c r="A35" s="17" t="str">
        <f>'Raw Data'!R32</f>
        <v>Infibeam Avenues Ltd_2023</v>
      </c>
      <c r="B35" s="35">
        <f>IFERROR(ROUND(SUMIF('Raw Data'!$R:$R,$A35,'Raw Data'!$I:$I)/SUMIF('Raw Data'!$R:$R,$A35,'Raw Data'!$F:$F),4),"NA")</f>
        <v>8.3999999999999995E-3</v>
      </c>
      <c r="C35" s="35">
        <f>IFERROR(ROUND(SUMIF('Raw Data'!$R:$R,$A35,'Raw Data'!$G:$G)/SUMIF('Raw Data'!$R:$R,$A35,'Raw Data'!$F:$F),4),"NA")</f>
        <v>0</v>
      </c>
      <c r="D35" s="35">
        <f>IFERROR(ROUND(SUMIF('Raw Data'!$R:$R,$A35,'Raw Data'!$K:$K)/SUMIF('Raw Data'!$R:$R,$A35,'Raw Data'!$F:$F),4),"NA")</f>
        <v>3.32E-2</v>
      </c>
      <c r="E35" s="36">
        <f>IFERROR(ROUND(LN(SUMIF('Raw Data'!$R:$R,$A35,'Raw Data'!$F:$F)),4),"NA")</f>
        <v>8.3196999999999992</v>
      </c>
      <c r="F35" s="35">
        <f>IFERROR(ROUND(SUMIF('Raw Data'!$R:$R,$A35,'Raw Data'!$N:$N)/SUMIF('Raw Data'!$R:$R,$A35,'Raw Data'!$M:$M),4),"NA")</f>
        <v>0.57140000000000002</v>
      </c>
    </row>
    <row r="36" spans="1:6" ht="15" customHeight="1">
      <c r="A36" s="17" t="str">
        <f>'Raw Data'!R33</f>
        <v>Infibeam Avenues Ltd_2024</v>
      </c>
      <c r="B36" s="35">
        <f>IFERROR(ROUND(SUMIF('Raw Data'!$R:$R,$A36,'Raw Data'!$I:$I)/SUMIF('Raw Data'!$R:$R,$A36,'Raw Data'!$F:$F),4),"NA")</f>
        <v>5.6000000000000001E-2</v>
      </c>
      <c r="C36" s="35">
        <f>IFERROR(ROUND(SUMIF('Raw Data'!$R:$R,$A36,'Raw Data'!$G:$G)/SUMIF('Raw Data'!$R:$R,$A36,'Raw Data'!$F:$F),4),"NA")</f>
        <v>1.37E-2</v>
      </c>
      <c r="D36" s="35">
        <f>IFERROR(ROUND(SUMIF('Raw Data'!$R:$R,$A36,'Raw Data'!$K:$K)/SUMIF('Raw Data'!$R:$R,$A36,'Raw Data'!$F:$F),4),"NA")</f>
        <v>2.9899999999999999E-2</v>
      </c>
      <c r="E36" s="36">
        <f>IFERROR(ROUND(LN(SUMIF('Raw Data'!$R:$R,$A36,'Raw Data'!$F:$F)),4),"NA")</f>
        <v>8.5594999999999999</v>
      </c>
      <c r="F36" s="35">
        <f>IFERROR(ROUND(SUMIF('Raw Data'!$R:$R,$A36,'Raw Data'!$N:$N)/SUMIF('Raw Data'!$R:$R,$A36,'Raw Data'!$M:$M),4),"NA")</f>
        <v>0.57140000000000002</v>
      </c>
    </row>
    <row r="37" spans="1:6" ht="15" customHeight="1">
      <c r="A37" s="17" t="str">
        <f>'Raw Data'!R34</f>
        <v>Zaggle Prepaid Ocean Services Ltd_2021</v>
      </c>
      <c r="B37" s="35">
        <f>IFERROR(ROUND(SUMIF('Raw Data'!$R:$R,$A37,'Raw Data'!$I:$I)/SUMIF('Raw Data'!$R:$R,$A37,'Raw Data'!$F:$F),4),"NA")</f>
        <v>2.7199999999999998E-2</v>
      </c>
      <c r="C37" s="35">
        <f>IFERROR(ROUND(SUMIF('Raw Data'!$R:$R,$A37,'Raw Data'!$G:$G)/SUMIF('Raw Data'!$R:$R,$A37,'Raw Data'!$F:$F),4),"NA")</f>
        <v>0.56489999999999996</v>
      </c>
      <c r="D37" s="35">
        <f>IFERROR(ROUND(SUMIF('Raw Data'!$R:$R,$A37,'Raw Data'!$K:$K)/SUMIF('Raw Data'!$R:$R,$A37,'Raw Data'!$F:$F),4),"NA")</f>
        <v>0.4108</v>
      </c>
      <c r="E37" s="36">
        <f>IFERROR(ROUND(LN(SUMIF('Raw Data'!$R:$R,$A37,'Raw Data'!$F:$F)),4),"NA")</f>
        <v>4.0872000000000002</v>
      </c>
      <c r="F37" s="35">
        <f>IFERROR(ROUND(SUMIF('Raw Data'!$R:$R,$A37,'Raw Data'!$N:$N)/SUMIF('Raw Data'!$R:$R,$A37,'Raw Data'!$M:$M),4),"NA")</f>
        <v>0</v>
      </c>
    </row>
    <row r="38" spans="1:6" ht="15" customHeight="1">
      <c r="A38" s="17" t="str">
        <f>'Raw Data'!R35</f>
        <v>Zaggle Prepaid Ocean Services Ltd_2022</v>
      </c>
      <c r="B38" s="35">
        <f>IFERROR(ROUND(SUMIF('Raw Data'!$R:$R,$A38,'Raw Data'!$I:$I)/SUMIF('Raw Data'!$R:$R,$A38,'Raw Data'!$F:$F),4),"NA")</f>
        <v>1.7500000000000002E-2</v>
      </c>
      <c r="C38" s="35">
        <f>IFERROR(ROUND(SUMIF('Raw Data'!$R:$R,$A38,'Raw Data'!$G:$G)/SUMIF('Raw Data'!$R:$R,$A38,'Raw Data'!$F:$F),4),"NA")</f>
        <v>0.69579999999999997</v>
      </c>
      <c r="D38" s="35">
        <f>IFERROR(ROUND(SUMIF('Raw Data'!$R:$R,$A38,'Raw Data'!$K:$K)/SUMIF('Raw Data'!$R:$R,$A38,'Raw Data'!$F:$F),4),"NA")</f>
        <v>0.45250000000000001</v>
      </c>
      <c r="E38" s="36">
        <f>IFERROR(ROUND(LN(SUMIF('Raw Data'!$R:$R,$A38,'Raw Data'!$F:$F)),4),"NA")</f>
        <v>4.5288000000000004</v>
      </c>
      <c r="F38" s="35">
        <f>IFERROR(ROUND(SUMIF('Raw Data'!$R:$R,$A38,'Raw Data'!$N:$N)/SUMIF('Raw Data'!$R:$R,$A38,'Raw Data'!$M:$M),4),"NA")</f>
        <v>0</v>
      </c>
    </row>
    <row r="39" spans="1:6" ht="15" customHeight="1">
      <c r="A39" s="17" t="str">
        <f>'Raw Data'!R36</f>
        <v>Zaggle Prepaid Ocean Services Ltd_2023</v>
      </c>
      <c r="B39" s="35">
        <f>IFERROR(ROUND(SUMIF('Raw Data'!$R:$R,$A39,'Raw Data'!$I:$I)/SUMIF('Raw Data'!$R:$R,$A39,'Raw Data'!$F:$F),4),"NA")</f>
        <v>1.9599999999999999E-2</v>
      </c>
      <c r="C39" s="35">
        <f>IFERROR(ROUND(SUMIF('Raw Data'!$R:$R,$A39,'Raw Data'!$G:$G)/SUMIF('Raw Data'!$R:$R,$A39,'Raw Data'!$F:$F),4),"NA")</f>
        <v>0.51570000000000005</v>
      </c>
      <c r="D39" s="35">
        <f>IFERROR(ROUND(SUMIF('Raw Data'!$R:$R,$A39,'Raw Data'!$K:$K)/SUMIF('Raw Data'!$R:$R,$A39,'Raw Data'!$F:$F),4),"NA")</f>
        <v>9.7500000000000003E-2</v>
      </c>
      <c r="E39" s="36">
        <f>IFERROR(ROUND(LN(SUMIF('Raw Data'!$R:$R,$A39,'Raw Data'!$F:$F)),4),"NA")</f>
        <v>5.4585999999999997</v>
      </c>
      <c r="F39" s="35">
        <f>IFERROR(ROUND(SUMIF('Raw Data'!$R:$R,$A39,'Raw Data'!$N:$N)/SUMIF('Raw Data'!$R:$R,$A39,'Raw Data'!$M:$M),4),"NA")</f>
        <v>0</v>
      </c>
    </row>
    <row r="40" spans="1:6" ht="15" customHeight="1">
      <c r="A40" s="17" t="str">
        <f>'Raw Data'!R37</f>
        <v>Zaggle Prepaid Ocean Services Ltd_2024</v>
      </c>
      <c r="B40" s="35">
        <f>IFERROR(ROUND(SUMIF('Raw Data'!$R:$R,$A40,'Raw Data'!$I:$I)/SUMIF('Raw Data'!$R:$R,$A40,'Raw Data'!$F:$F),4),"NA")</f>
        <v>6.6E-3</v>
      </c>
      <c r="C40" s="35">
        <f>IFERROR(ROUND(SUMIF('Raw Data'!$R:$R,$A40,'Raw Data'!$G:$G)/SUMIF('Raw Data'!$R:$R,$A40,'Raw Data'!$F:$F),4),"NA")</f>
        <v>0.1057</v>
      </c>
      <c r="D40" s="35">
        <f>IFERROR(ROUND(SUMIF('Raw Data'!$R:$R,$A40,'Raw Data'!$K:$K)/SUMIF('Raw Data'!$R:$R,$A40,'Raw Data'!$F:$F),4),"NA")</f>
        <v>6.3200000000000006E-2</v>
      </c>
      <c r="E40" s="36">
        <f>IFERROR(ROUND(LN(SUMIF('Raw Data'!$R:$R,$A40,'Raw Data'!$F:$F)),4),"NA")</f>
        <v>6.5456000000000003</v>
      </c>
      <c r="F40" s="35">
        <f>IFERROR(ROUND(SUMIF('Raw Data'!$R:$R,$A40,'Raw Data'!$N:$N)/SUMIF('Raw Data'!$R:$R,$A40,'Raw Data'!$M:$M),4),"NA")</f>
        <v>0.57140000000000002</v>
      </c>
    </row>
    <row r="41" spans="1:6" ht="15" customHeight="1">
      <c r="A41" s="17" t="str">
        <f>'Raw Data'!R38</f>
        <v>Fino Payments Bank Ltd_2021</v>
      </c>
      <c r="B41" s="35">
        <f>IFERROR(ROUND(SUMIF('Raw Data'!$R:$R,$A41,'Raw Data'!$I:$I)/SUMIF('Raw Data'!$R:$R,$A41,'Raw Data'!$F:$F),4),"NA")</f>
        <v>6.83E-2</v>
      </c>
      <c r="C41" s="35">
        <f>IFERROR(ROUND(SUMIF('Raw Data'!$R:$R,$A41,'Raw Data'!$G:$G)/SUMIF('Raw Data'!$R:$R,$A41,'Raw Data'!$F:$F),4),"NA")</f>
        <v>0.17899999999999999</v>
      </c>
      <c r="D41" s="35">
        <f>IFERROR(ROUND(SUMIF('Raw Data'!$R:$R,$A41,'Raw Data'!$K:$K)/SUMIF('Raw Data'!$R:$R,$A41,'Raw Data'!$F:$F),4),"NA")</f>
        <v>2.0299999999999999E-2</v>
      </c>
      <c r="E41" s="36">
        <f>IFERROR(ROUND(LN(SUMIF('Raw Data'!$R:$R,$A41,'Raw Data'!$F:$F)),4),"NA")</f>
        <v>6.9180000000000001</v>
      </c>
      <c r="F41" s="35" t="str">
        <f>IFERROR(ROUND(SUMIF('Raw Data'!$R:$R,$A41,'Raw Data'!$N:$N)/SUMIF('Raw Data'!$R:$R,$A41,'Raw Data'!$M:$M),4),"NA")</f>
        <v>NA</v>
      </c>
    </row>
    <row r="42" spans="1:6" ht="15" customHeight="1">
      <c r="A42" s="17" t="str">
        <f>'Raw Data'!R39</f>
        <v>Fino Payments Bank Ltd_2022</v>
      </c>
      <c r="B42" s="35">
        <f>IFERROR(ROUND(SUMIF('Raw Data'!$R:$R,$A42,'Raw Data'!$I:$I)/SUMIF('Raw Data'!$R:$R,$A42,'Raw Data'!$F:$F),4),"NA")</f>
        <v>3.8300000000000001E-2</v>
      </c>
      <c r="C42" s="35">
        <f>IFERROR(ROUND(SUMIF('Raw Data'!$R:$R,$A42,'Raw Data'!$G:$G)/SUMIF('Raw Data'!$R:$R,$A42,'Raw Data'!$F:$F),4),"NA")</f>
        <v>0.14860000000000001</v>
      </c>
      <c r="D42" s="35">
        <f>IFERROR(ROUND(SUMIF('Raw Data'!$R:$R,$A42,'Raw Data'!$K:$K)/SUMIF('Raw Data'!$R:$R,$A42,'Raw Data'!$F:$F),4),"NA")</f>
        <v>2.5399999999999999E-2</v>
      </c>
      <c r="E42" s="36">
        <f>IFERROR(ROUND(LN(SUMIF('Raw Data'!$R:$R,$A42,'Raw Data'!$F:$F)),4),"NA")</f>
        <v>7.4264999999999999</v>
      </c>
      <c r="F42" s="35">
        <f>IFERROR(ROUND(SUMIF('Raw Data'!$R:$R,$A42,'Raw Data'!$N:$N)/SUMIF('Raw Data'!$R:$R,$A42,'Raw Data'!$M:$M),4),"NA")</f>
        <v>0.625</v>
      </c>
    </row>
    <row r="43" spans="1:6" ht="15" customHeight="1">
      <c r="A43" s="17" t="str">
        <f>'Raw Data'!R40</f>
        <v>Fino Payments Bank Ltd_2023</v>
      </c>
      <c r="B43" s="35">
        <f>IFERROR(ROUND(SUMIF('Raw Data'!$R:$R,$A43,'Raw Data'!$I:$I)/SUMIF('Raw Data'!$R:$R,$A43,'Raw Data'!$F:$F),4),"NA")</f>
        <v>3.8199999999999998E-2</v>
      </c>
      <c r="C43" s="35">
        <f>IFERROR(ROUND(SUMIF('Raw Data'!$R:$R,$A43,'Raw Data'!$G:$G)/SUMIF('Raw Data'!$R:$R,$A43,'Raw Data'!$F:$F),4),"NA")</f>
        <v>0.17599999999999999</v>
      </c>
      <c r="D43" s="35">
        <f>IFERROR(ROUND(SUMIF('Raw Data'!$R:$R,$A43,'Raw Data'!$K:$K)/SUMIF('Raw Data'!$R:$R,$A43,'Raw Data'!$F:$F),4),"NA")</f>
        <v>2.64E-2</v>
      </c>
      <c r="E43" s="36">
        <f>IFERROR(ROUND(LN(SUMIF('Raw Data'!$R:$R,$A43,'Raw Data'!$F:$F)),4),"NA")</f>
        <v>7.8105000000000002</v>
      </c>
      <c r="F43" s="35">
        <f>IFERROR(ROUND(SUMIF('Raw Data'!$R:$R,$A43,'Raw Data'!$N:$N)/SUMIF('Raw Data'!$R:$R,$A43,'Raw Data'!$M:$M),4),"NA")</f>
        <v>0.71430000000000005</v>
      </c>
    </row>
    <row r="44" spans="1:6" ht="15" customHeight="1">
      <c r="A44" s="17" t="str">
        <f>'Raw Data'!R41</f>
        <v>Fino Payments Bank Ltd_2024</v>
      </c>
      <c r="B44" s="35">
        <f>IFERROR(ROUND(SUMIF('Raw Data'!$R:$R,$A44,'Raw Data'!$I:$I)/SUMIF('Raw Data'!$R:$R,$A44,'Raw Data'!$F:$F),4),"NA")</f>
        <v>3.04E-2</v>
      </c>
      <c r="C44" s="35">
        <f>IFERROR(ROUND(SUMIF('Raw Data'!$R:$R,$A44,'Raw Data'!$G:$G)/SUMIF('Raw Data'!$R:$R,$A44,'Raw Data'!$F:$F),4),"NA")</f>
        <v>0.2084</v>
      </c>
      <c r="D44" s="35">
        <f>IFERROR(ROUND(SUMIF('Raw Data'!$R:$R,$A44,'Raw Data'!$K:$K)/SUMIF('Raw Data'!$R:$R,$A44,'Raw Data'!$F:$F),4),"NA")</f>
        <v>2.52E-2</v>
      </c>
      <c r="E44" s="36">
        <f>IFERROR(ROUND(LN(SUMIF('Raw Data'!$R:$R,$A44,'Raw Data'!$F:$F)),4),"NA")</f>
        <v>8.1371000000000002</v>
      </c>
      <c r="F44" s="35">
        <f>IFERROR(ROUND(SUMIF('Raw Data'!$R:$R,$A44,'Raw Data'!$N:$N)/SUMIF('Raw Data'!$R:$R,$A44,'Raw Data'!$M:$M),4),"NA")</f>
        <v>0.625</v>
      </c>
    </row>
    <row r="45" spans="1:6" ht="15" customHeight="1">
      <c r="A45" s="17" t="str">
        <f>'Raw Data'!R42</f>
        <v>Kfin Technologies Ltd_2021</v>
      </c>
      <c r="B45" s="35">
        <f>IFERROR(ROUND(SUMIF('Raw Data'!$R:$R,$A45,'Raw Data'!$I:$I)/SUMIF('Raw Data'!$R:$R,$A45,'Raw Data'!$F:$F),4),"NA")</f>
        <v>8.0999999999999996E-3</v>
      </c>
      <c r="C45" s="35">
        <f>IFERROR(ROUND(SUMIF('Raw Data'!$R:$R,$A45,'Raw Data'!$G:$G)/SUMIF('Raw Data'!$R:$R,$A45,'Raw Data'!$F:$F),4),"NA")</f>
        <v>0.31979999999999997</v>
      </c>
      <c r="D45" s="35">
        <f>IFERROR(ROUND(SUMIF('Raw Data'!$R:$R,$A45,'Raw Data'!$K:$K)/SUMIF('Raw Data'!$R:$R,$A45,'Raw Data'!$F:$F),4),"NA")</f>
        <v>-7.0199999999999999E-2</v>
      </c>
      <c r="E45" s="36">
        <f>IFERROR(ROUND(LN(SUMIF('Raw Data'!$R:$R,$A45,'Raw Data'!$F:$F)),4),"NA")</f>
        <v>6.8232999999999997</v>
      </c>
      <c r="F45" s="35">
        <f>IFERROR(ROUND(SUMIF('Raw Data'!$R:$R,$A45,'Raw Data'!$N:$N)/SUMIF('Raw Data'!$R:$R,$A45,'Raw Data'!$M:$M),4),"NA")</f>
        <v>0.375</v>
      </c>
    </row>
    <row r="46" spans="1:6" ht="15" customHeight="1">
      <c r="A46" s="17" t="str">
        <f>'Raw Data'!R43</f>
        <v>Kfin Technologies Ltd_2022</v>
      </c>
      <c r="B46" s="35">
        <f>IFERROR(ROUND(SUMIF('Raw Data'!$R:$R,$A46,'Raw Data'!$I:$I)/SUMIF('Raw Data'!$R:$R,$A46,'Raw Data'!$F:$F),4),"NA")</f>
        <v>6.4000000000000003E-3</v>
      </c>
      <c r="C46" s="35">
        <f>IFERROR(ROUND(SUMIF('Raw Data'!$R:$R,$A46,'Raw Data'!$G:$G)/SUMIF('Raw Data'!$R:$R,$A46,'Raw Data'!$F:$F),4),"NA")</f>
        <v>0.33250000000000002</v>
      </c>
      <c r="D46" s="35">
        <f>IFERROR(ROUND(SUMIF('Raw Data'!$R:$R,$A46,'Raw Data'!$K:$K)/SUMIF('Raw Data'!$R:$R,$A46,'Raw Data'!$F:$F),4),"NA")</f>
        <v>0.14030000000000001</v>
      </c>
      <c r="E46" s="36">
        <f>IFERROR(ROUND(LN(SUMIF('Raw Data'!$R:$R,$A46,'Raw Data'!$F:$F)),4),"NA")</f>
        <v>6.9646999999999997</v>
      </c>
      <c r="F46" s="35">
        <f>IFERROR(ROUND(SUMIF('Raw Data'!$R:$R,$A46,'Raw Data'!$N:$N)/SUMIF('Raw Data'!$R:$R,$A46,'Raw Data'!$M:$M),4),"NA")</f>
        <v>0.33329999999999999</v>
      </c>
    </row>
    <row r="47" spans="1:6" ht="15" customHeight="1">
      <c r="A47" s="17" t="str">
        <f>'Raw Data'!R44</f>
        <v>Kfin Technologies Ltd_2023</v>
      </c>
      <c r="B47" s="35">
        <f>IFERROR(ROUND(SUMIF('Raw Data'!$R:$R,$A47,'Raw Data'!$I:$I)/SUMIF('Raw Data'!$R:$R,$A47,'Raw Data'!$F:$F),4),"NA")</f>
        <v>5.4999999999999997E-3</v>
      </c>
      <c r="C47" s="35">
        <f>IFERROR(ROUND(SUMIF('Raw Data'!$R:$R,$A47,'Raw Data'!$G:$G)/SUMIF('Raw Data'!$R:$R,$A47,'Raw Data'!$F:$F),4),"NA")</f>
        <v>0.10390000000000001</v>
      </c>
      <c r="D47" s="35">
        <f>IFERROR(ROUND(SUMIF('Raw Data'!$R:$R,$A47,'Raw Data'!$K:$K)/SUMIF('Raw Data'!$R:$R,$A47,'Raw Data'!$F:$F),4),"NA")</f>
        <v>0.15640000000000001</v>
      </c>
      <c r="E47" s="36">
        <f>IFERROR(ROUND(LN(SUMIF('Raw Data'!$R:$R,$A47,'Raw Data'!$F:$F)),4),"NA")</f>
        <v>7.1318999999999999</v>
      </c>
      <c r="F47" s="35">
        <f>IFERROR(ROUND(SUMIF('Raw Data'!$R:$R,$A47,'Raw Data'!$N:$N)/SUMIF('Raw Data'!$R:$R,$A47,'Raw Data'!$M:$M),4),"NA")</f>
        <v>0.33329999999999999</v>
      </c>
    </row>
    <row r="48" spans="1:6" ht="15" customHeight="1">
      <c r="A48" s="17" t="str">
        <f>'Raw Data'!R45</f>
        <v>Kfin Technologies Ltd_2024</v>
      </c>
      <c r="B48" s="35">
        <f>IFERROR(ROUND(SUMIF('Raw Data'!$R:$R,$A48,'Raw Data'!$I:$I)/SUMIF('Raw Data'!$R:$R,$A48,'Raw Data'!$F:$F),4),"NA")</f>
        <v>6.0000000000000001E-3</v>
      </c>
      <c r="C48" s="35">
        <f>IFERROR(ROUND(SUMIF('Raw Data'!$R:$R,$A48,'Raw Data'!$G:$G)/SUMIF('Raw Data'!$R:$R,$A48,'Raw Data'!$F:$F),4),"NA")</f>
        <v>0</v>
      </c>
      <c r="D48" s="35">
        <f>IFERROR(ROUND(SUMIF('Raw Data'!$R:$R,$A48,'Raw Data'!$K:$K)/SUMIF('Raw Data'!$R:$R,$A48,'Raw Data'!$F:$F),4),"NA")</f>
        <v>0.1734</v>
      </c>
      <c r="E48" s="36">
        <f>IFERROR(ROUND(LN(SUMIF('Raw Data'!$R:$R,$A48,'Raw Data'!$F:$F)),4),"NA")</f>
        <v>7.2575000000000003</v>
      </c>
      <c r="F48" s="35">
        <f>IFERROR(ROUND(SUMIF('Raw Data'!$R:$R,$A48,'Raw Data'!$N:$N)/SUMIF('Raw Data'!$R:$R,$A48,'Raw Data'!$M:$M),4),"NA")</f>
        <v>0.33329999999999999</v>
      </c>
    </row>
    <row r="49" spans="1:6" ht="15" customHeight="1">
      <c r="A49" s="17" t="str">
        <f>'Raw Data'!R46</f>
        <v>Intellect Design Arena Ltd_2021</v>
      </c>
      <c r="B49" s="35">
        <f>IFERROR(ROUND(SUMIF('Raw Data'!$R:$R,$A49,'Raw Data'!$I:$I)/SUMIF('Raw Data'!$R:$R,$A49,'Raw Data'!$F:$F),4),"NA")</f>
        <v>4.9799999999999997E-2</v>
      </c>
      <c r="C49" s="35">
        <f>IFERROR(ROUND(SUMIF('Raw Data'!$R:$R,$A49,'Raw Data'!$G:$G)/SUMIF('Raw Data'!$R:$R,$A49,'Raw Data'!$F:$F),4),"NA")</f>
        <v>2.9999999999999997E-4</v>
      </c>
      <c r="D49" s="35">
        <f>IFERROR(ROUND(SUMIF('Raw Data'!$R:$R,$A49,'Raw Data'!$K:$K)/SUMIF('Raw Data'!$R:$R,$A49,'Raw Data'!$F:$F),4),"NA")</f>
        <v>0.1351</v>
      </c>
      <c r="E49" s="36">
        <f>IFERROR(ROUND(LN(SUMIF('Raw Data'!$R:$R,$A49,'Raw Data'!$F:$F)),4),"NA")</f>
        <v>7.8608000000000002</v>
      </c>
      <c r="F49" s="35">
        <f>IFERROR(ROUND(SUMIF('Raw Data'!$R:$R,$A49,'Raw Data'!$N:$N)/SUMIF('Raw Data'!$R:$R,$A49,'Raw Data'!$M:$M),4),"NA")</f>
        <v>0.5</v>
      </c>
    </row>
    <row r="50" spans="1:6" ht="15" customHeight="1">
      <c r="A50" s="17" t="str">
        <f>'Raw Data'!R47</f>
        <v>Intellect Design Arena Ltd_2022</v>
      </c>
      <c r="B50" s="35">
        <f>IFERROR(ROUND(SUMIF('Raw Data'!$R:$R,$A50,'Raw Data'!$I:$I)/SUMIF('Raw Data'!$R:$R,$A50,'Raw Data'!$F:$F),4),"NA")</f>
        <v>5.7500000000000002E-2</v>
      </c>
      <c r="C50" s="35">
        <f>IFERROR(ROUND(SUMIF('Raw Data'!$R:$R,$A50,'Raw Data'!$G:$G)/SUMIF('Raw Data'!$R:$R,$A50,'Raw Data'!$F:$F),4),"NA")</f>
        <v>0</v>
      </c>
      <c r="D50" s="35">
        <f>IFERROR(ROUND(SUMIF('Raw Data'!$R:$R,$A50,'Raw Data'!$K:$K)/SUMIF('Raw Data'!$R:$R,$A50,'Raw Data'!$F:$F),4),"NA")</f>
        <v>9.2999999999999999E-2</v>
      </c>
      <c r="E50" s="36">
        <f>IFERROR(ROUND(LN(SUMIF('Raw Data'!$R:$R,$A50,'Raw Data'!$F:$F)),4),"NA")</f>
        <v>7.9680999999999997</v>
      </c>
      <c r="F50" s="35">
        <f>IFERROR(ROUND(SUMIF('Raw Data'!$R:$R,$A50,'Raw Data'!$N:$N)/SUMIF('Raw Data'!$R:$R,$A50,'Raw Data'!$M:$M),4),"NA")</f>
        <v>0.57140000000000002</v>
      </c>
    </row>
    <row r="51" spans="1:6" ht="15" customHeight="1">
      <c r="A51" s="17" t="str">
        <f>'Raw Data'!R48</f>
        <v>Intellect Design Arena Ltd_2023</v>
      </c>
      <c r="B51" s="35">
        <f>IFERROR(ROUND(SUMIF('Raw Data'!$R:$R,$A51,'Raw Data'!$I:$I)/SUMIF('Raw Data'!$R:$R,$A51,'Raw Data'!$F:$F),4),"NA")</f>
        <v>5.0799999999999998E-2</v>
      </c>
      <c r="C51" s="35">
        <f>IFERROR(ROUND(SUMIF('Raw Data'!$R:$R,$A51,'Raw Data'!$G:$G)/SUMIF('Raw Data'!$R:$R,$A51,'Raw Data'!$F:$F),4),"NA")</f>
        <v>0</v>
      </c>
      <c r="D51" s="35">
        <f>IFERROR(ROUND(SUMIF('Raw Data'!$R:$R,$A51,'Raw Data'!$K:$K)/SUMIF('Raw Data'!$R:$R,$A51,'Raw Data'!$F:$F),4),"NA")</f>
        <v>9.4799999999999995E-2</v>
      </c>
      <c r="E51" s="36">
        <f>IFERROR(ROUND(LN(SUMIF('Raw Data'!$R:$R,$A51,'Raw Data'!$F:$F)),4),"NA")</f>
        <v>8.1329999999999991</v>
      </c>
      <c r="F51" s="35">
        <f>IFERROR(ROUND(SUMIF('Raw Data'!$R:$R,$A51,'Raw Data'!$N:$N)/SUMIF('Raw Data'!$R:$R,$A51,'Raw Data'!$M:$M),4),"NA")</f>
        <v>0.57140000000000002</v>
      </c>
    </row>
    <row r="52" spans="1:6" ht="15" customHeight="1">
      <c r="A52" s="17" t="str">
        <f>'Raw Data'!R49</f>
        <v>Intellect Design Arena Ltd_2024</v>
      </c>
      <c r="B52" s="35">
        <f>IFERROR(ROUND(SUMIF('Raw Data'!$R:$R,$A52,'Raw Data'!$I:$I)/SUMIF('Raw Data'!$R:$R,$A52,'Raw Data'!$F:$F),4),"NA")</f>
        <v>4.4299999999999999E-2</v>
      </c>
      <c r="C52" s="35">
        <f>IFERROR(ROUND(SUMIF('Raw Data'!$R:$R,$A52,'Raw Data'!$G:$G)/SUMIF('Raw Data'!$R:$R,$A52,'Raw Data'!$F:$F),4),"NA")</f>
        <v>0</v>
      </c>
      <c r="D52" s="35">
        <f>IFERROR(ROUND(SUMIF('Raw Data'!$R:$R,$A52,'Raw Data'!$K:$K)/SUMIF('Raw Data'!$R:$R,$A52,'Raw Data'!$F:$F),4),"NA")</f>
        <v>8.6099999999999996E-2</v>
      </c>
      <c r="E52" s="36">
        <f>IFERROR(ROUND(LN(SUMIF('Raw Data'!$R:$R,$A52,'Raw Data'!$F:$F)),4),"NA")</f>
        <v>8.2640999999999991</v>
      </c>
      <c r="F52" s="35">
        <f>IFERROR(ROUND(SUMIF('Raw Data'!$R:$R,$A52,'Raw Data'!$N:$N)/SUMIF('Raw Data'!$R:$R,$A52,'Raw Data'!$M:$M),4),"NA")</f>
        <v>0.5</v>
      </c>
    </row>
    <row r="53" spans="1:6" ht="15" customHeight="1">
      <c r="A53" s="17" t="str">
        <f>'Raw Data'!R50</f>
        <v>Nucleus Software Exports Ltd_2021</v>
      </c>
      <c r="B53" s="35">
        <f>IFERROR(ROUND(SUMIF('Raw Data'!$R:$R,$A53,'Raw Data'!$I:$I)/SUMIF('Raw Data'!$R:$R,$A53,'Raw Data'!$F:$F),4),"NA")</f>
        <v>3.2899999999999999E-2</v>
      </c>
      <c r="C53" s="35">
        <f>IFERROR(ROUND(SUMIF('Raw Data'!$R:$R,$A53,'Raw Data'!$G:$G)/SUMIF('Raw Data'!$R:$R,$A53,'Raw Data'!$F:$F),4),"NA")</f>
        <v>0</v>
      </c>
      <c r="D53" s="35">
        <f>IFERROR(ROUND(SUMIF('Raw Data'!$R:$R,$A53,'Raw Data'!$K:$K)/SUMIF('Raw Data'!$R:$R,$A53,'Raw Data'!$F:$F),4),"NA")</f>
        <v>5.5500000000000001E-2</v>
      </c>
      <c r="E53" s="36">
        <f>IFERROR(ROUND(LN(SUMIF('Raw Data'!$R:$R,$A53,'Raw Data'!$F:$F)),4),"NA")</f>
        <v>6.6025</v>
      </c>
      <c r="F53" s="35">
        <f>IFERROR(ROUND(SUMIF('Raw Data'!$R:$R,$A53,'Raw Data'!$N:$N)/SUMIF('Raw Data'!$R:$R,$A53,'Raw Data'!$M:$M),4),"NA")</f>
        <v>0.5</v>
      </c>
    </row>
    <row r="54" spans="1:6" ht="15" customHeight="1">
      <c r="A54" s="17" t="str">
        <f>'Raw Data'!R51</f>
        <v>Nucleus Software Exports Ltd_2022</v>
      </c>
      <c r="B54" s="35">
        <f>IFERROR(ROUND(SUMIF('Raw Data'!$R:$R,$A54,'Raw Data'!$I:$I)/SUMIF('Raw Data'!$R:$R,$A54,'Raw Data'!$F:$F),4),"NA")</f>
        <v>4.1999999999999997E-3</v>
      </c>
      <c r="C54" s="35">
        <f>IFERROR(ROUND(SUMIF('Raw Data'!$R:$R,$A54,'Raw Data'!$G:$G)/SUMIF('Raw Data'!$R:$R,$A54,'Raw Data'!$F:$F),4),"NA")</f>
        <v>0</v>
      </c>
      <c r="D54" s="35">
        <f>IFERROR(ROUND(SUMIF('Raw Data'!$R:$R,$A54,'Raw Data'!$K:$K)/SUMIF('Raw Data'!$R:$R,$A54,'Raw Data'!$F:$F),4),"NA")</f>
        <v>0.1462</v>
      </c>
      <c r="E54" s="36">
        <f>IFERROR(ROUND(LN(SUMIF('Raw Data'!$R:$R,$A54,'Raw Data'!$F:$F)),4),"NA")</f>
        <v>6.7732999999999999</v>
      </c>
      <c r="F54" s="35">
        <f>IFERROR(ROUND(SUMIF('Raw Data'!$R:$R,$A54,'Raw Data'!$N:$N)/SUMIF('Raw Data'!$R:$R,$A54,'Raw Data'!$M:$M),4),"NA")</f>
        <v>0.5</v>
      </c>
    </row>
    <row r="55" spans="1:6" ht="15" customHeight="1">
      <c r="A55" s="17" t="str">
        <f>'Raw Data'!R52</f>
        <v>Nucleus Software Exports Ltd_2023</v>
      </c>
      <c r="B55" s="35">
        <f>IFERROR(ROUND(SUMIF('Raw Data'!$R:$R,$A55,'Raw Data'!$I:$I)/SUMIF('Raw Data'!$R:$R,$A55,'Raw Data'!$F:$F),4),"NA")</f>
        <v>2.5700000000000001E-2</v>
      </c>
      <c r="C55" s="35">
        <f>IFERROR(ROUND(SUMIF('Raw Data'!$R:$R,$A55,'Raw Data'!$G:$G)/SUMIF('Raw Data'!$R:$R,$A55,'Raw Data'!$F:$F),4),"NA")</f>
        <v>0</v>
      </c>
      <c r="D55" s="35">
        <f>IFERROR(ROUND(SUMIF('Raw Data'!$R:$R,$A55,'Raw Data'!$K:$K)/SUMIF('Raw Data'!$R:$R,$A55,'Raw Data'!$F:$F),4),"NA")</f>
        <v>0.17199999999999999</v>
      </c>
      <c r="E55" s="36">
        <f>IFERROR(ROUND(LN(SUMIF('Raw Data'!$R:$R,$A55,'Raw Data'!$F:$F)),4),"NA")</f>
        <v>7.0156999999999998</v>
      </c>
      <c r="F55" s="35">
        <f>IFERROR(ROUND(SUMIF('Raw Data'!$R:$R,$A55,'Raw Data'!$N:$N)/SUMIF('Raw Data'!$R:$R,$A55,'Raw Data'!$M:$M),4),"NA")</f>
        <v>0.58330000000000004</v>
      </c>
    </row>
    <row r="56" spans="1:6" ht="15" customHeight="1">
      <c r="A56" s="17" t="str">
        <f>'Raw Data'!R53</f>
        <v>Nucleus Software Exports Ltd_2024</v>
      </c>
      <c r="B56" s="35">
        <f>IFERROR(ROUND(SUMIF('Raw Data'!$R:$R,$A56,'Raw Data'!$I:$I)/SUMIF('Raw Data'!$R:$R,$A56,'Raw Data'!$F:$F),4),"NA")</f>
        <v>1.32E-2</v>
      </c>
      <c r="C56" s="35">
        <f>IFERROR(ROUND(SUMIF('Raw Data'!$R:$R,$A56,'Raw Data'!$G:$G)/SUMIF('Raw Data'!$R:$R,$A56,'Raw Data'!$F:$F),4),"NA")</f>
        <v>0</v>
      </c>
      <c r="D56" s="35">
        <f>IFERROR(ROUND(SUMIF('Raw Data'!$R:$R,$A56,'Raw Data'!$K:$K)/SUMIF('Raw Data'!$R:$R,$A56,'Raw Data'!$F:$F),4),"NA")</f>
        <v>0.1414</v>
      </c>
      <c r="E56" s="36">
        <f>IFERROR(ROUND(LN(SUMIF('Raw Data'!$R:$R,$A56,'Raw Data'!$F:$F)),4),"NA")</f>
        <v>7.0500999999999996</v>
      </c>
      <c r="F56" s="35">
        <f>IFERROR(ROUND(SUMIF('Raw Data'!$R:$R,$A56,'Raw Data'!$N:$N)/SUMIF('Raw Data'!$R:$R,$A56,'Raw Data'!$M:$M),4),"NA")</f>
        <v>0.5</v>
      </c>
    </row>
    <row r="57" spans="1:6" ht="15" customHeight="1">
      <c r="A57" s="17" t="str">
        <f>'Raw Data'!R54</f>
        <v>Oracle Financial Services Software Ltd_2021</v>
      </c>
      <c r="B57" s="35">
        <f>IFERROR(ROUND(SUMIF('Raw Data'!$R:$R,$A57,'Raw Data'!$I:$I)/SUMIF('Raw Data'!$R:$R,$A57,'Raw Data'!$F:$F),4),"NA")</f>
        <v>4.0000000000000001E-3</v>
      </c>
      <c r="C57" s="35">
        <f>IFERROR(ROUND(SUMIF('Raw Data'!$R:$R,$A57,'Raw Data'!$G:$G)/SUMIF('Raw Data'!$R:$R,$A57,'Raw Data'!$F:$F),4),"NA")</f>
        <v>0</v>
      </c>
      <c r="D57" s="35">
        <f>IFERROR(ROUND(SUMIF('Raw Data'!$R:$R,$A57,'Raw Data'!$K:$K)/SUMIF('Raw Data'!$R:$R,$A57,'Raw Data'!$F:$F),4),"NA")</f>
        <v>0.2162</v>
      </c>
      <c r="E57" s="36">
        <f>IFERROR(ROUND(LN(SUMIF('Raw Data'!$R:$R,$A57,'Raw Data'!$F:$F)),4),"NA")</f>
        <v>9.0751000000000008</v>
      </c>
      <c r="F57" s="35">
        <f>IFERROR(ROUND(SUMIF('Raw Data'!$R:$R,$A57,'Raw Data'!$N:$N)/SUMIF('Raw Data'!$R:$R,$A57,'Raw Data'!$M:$M),4),"NA")</f>
        <v>0.4</v>
      </c>
    </row>
    <row r="58" spans="1:6" ht="15" customHeight="1">
      <c r="A58" s="17" t="str">
        <f>'Raw Data'!R55</f>
        <v>Oracle Financial Services Software Ltd_2022</v>
      </c>
      <c r="B58" s="35">
        <f>IFERROR(ROUND(SUMIF('Raw Data'!$R:$R,$A58,'Raw Data'!$I:$I)/SUMIF('Raw Data'!$R:$R,$A58,'Raw Data'!$F:$F),4),"NA")</f>
        <v>4.4000000000000003E-3</v>
      </c>
      <c r="C58" s="35">
        <f>IFERROR(ROUND(SUMIF('Raw Data'!$R:$R,$A58,'Raw Data'!$G:$G)/SUMIF('Raw Data'!$R:$R,$A58,'Raw Data'!$F:$F),4),"NA")</f>
        <v>0</v>
      </c>
      <c r="D58" s="35">
        <f>IFERROR(ROUND(SUMIF('Raw Data'!$R:$R,$A58,'Raw Data'!$K:$K)/SUMIF('Raw Data'!$R:$R,$A58,'Raw Data'!$F:$F),4),"NA")</f>
        <v>0.19470000000000001</v>
      </c>
      <c r="E58" s="36">
        <f>IFERROR(ROUND(LN(SUMIF('Raw Data'!$R:$R,$A58,'Raw Data'!$F:$F)),4),"NA")</f>
        <v>9.1350999999999996</v>
      </c>
      <c r="F58" s="35">
        <f>IFERROR(ROUND(SUMIF('Raw Data'!$R:$R,$A58,'Raw Data'!$N:$N)/SUMIF('Raw Data'!$R:$R,$A58,'Raw Data'!$M:$M),4),"NA")</f>
        <v>0.4</v>
      </c>
    </row>
    <row r="59" spans="1:6" ht="15" customHeight="1">
      <c r="A59" s="17" t="str">
        <f>'Raw Data'!R56</f>
        <v>Oracle Financial Services Software Ltd_2023</v>
      </c>
      <c r="B59" s="35">
        <f>IFERROR(ROUND(SUMIF('Raw Data'!$R:$R,$A59,'Raw Data'!$I:$I)/SUMIF('Raw Data'!$R:$R,$A59,'Raw Data'!$F:$F),4),"NA")</f>
        <v>2.8999999999999998E-3</v>
      </c>
      <c r="C59" s="35">
        <f>IFERROR(ROUND(SUMIF('Raw Data'!$R:$R,$A59,'Raw Data'!$G:$G)/SUMIF('Raw Data'!$R:$R,$A59,'Raw Data'!$F:$F),4),"NA")</f>
        <v>0</v>
      </c>
      <c r="D59" s="35">
        <f>IFERROR(ROUND(SUMIF('Raw Data'!$R:$R,$A59,'Raw Data'!$K:$K)/SUMIF('Raw Data'!$R:$R,$A59,'Raw Data'!$F:$F),4),"NA")</f>
        <v>0.22339999999999999</v>
      </c>
      <c r="E59" s="36">
        <f>IFERROR(ROUND(LN(SUMIF('Raw Data'!$R:$R,$A59,'Raw Data'!$F:$F)),4),"NA")</f>
        <v>9.2039000000000009</v>
      </c>
      <c r="F59" s="35">
        <f>IFERROR(ROUND(SUMIF('Raw Data'!$R:$R,$A59,'Raw Data'!$N:$N)/SUMIF('Raw Data'!$R:$R,$A59,'Raw Data'!$M:$M),4),"NA")</f>
        <v>0.45450000000000002</v>
      </c>
    </row>
    <row r="60" spans="1:6" ht="15" customHeight="1">
      <c r="A60" s="17" t="str">
        <f>'Raw Data'!R57</f>
        <v>Oracle Financial Services Software Ltd_2024</v>
      </c>
      <c r="B60" s="35">
        <f>IFERROR(ROUND(SUMIF('Raw Data'!$R:$R,$A60,'Raw Data'!$I:$I)/SUMIF('Raw Data'!$R:$R,$A60,'Raw Data'!$F:$F),4),"NA")</f>
        <v>2.8E-3</v>
      </c>
      <c r="C60" s="35">
        <f>IFERROR(ROUND(SUMIF('Raw Data'!$R:$R,$A60,'Raw Data'!$G:$G)/SUMIF('Raw Data'!$R:$R,$A60,'Raw Data'!$F:$F),4),"NA")</f>
        <v>0</v>
      </c>
      <c r="D60" s="35">
        <f>IFERROR(ROUND(SUMIF('Raw Data'!$R:$R,$A60,'Raw Data'!$K:$K)/SUMIF('Raw Data'!$R:$R,$A60,'Raw Data'!$F:$F),4),"NA")</f>
        <v>0.23480000000000001</v>
      </c>
      <c r="E60" s="36">
        <f>IFERROR(ROUND(LN(SUMIF('Raw Data'!$R:$R,$A60,'Raw Data'!$F:$F)),4),"NA")</f>
        <v>9.2238000000000007</v>
      </c>
      <c r="F60" s="35">
        <f>IFERROR(ROUND(SUMIF('Raw Data'!$R:$R,$A60,'Raw Data'!$N:$N)/SUMIF('Raw Data'!$R:$R,$A60,'Raw Data'!$M:$M),4),"NA")</f>
        <v>0.4</v>
      </c>
    </row>
    <row r="61" spans="1:6" ht="15" customHeight="1">
      <c r="A61" s="17" t="str">
        <f>'Raw Data'!R58</f>
        <v>63 Moons Technologies Ltd_2021</v>
      </c>
      <c r="B61" s="35">
        <f>IFERROR(ROUND(SUMIF('Raw Data'!$R:$R,$A61,'Raw Data'!$I:$I)/SUMIF('Raw Data'!$R:$R,$A61,'Raw Data'!$F:$F),4),"NA")</f>
        <v>1.4500000000000001E-2</v>
      </c>
      <c r="C61" s="35">
        <f>IFERROR(ROUND(SUMIF('Raw Data'!$R:$R,$A61,'Raw Data'!$G:$G)/SUMIF('Raw Data'!$R:$R,$A61,'Raw Data'!$F:$F),4),"NA")</f>
        <v>0</v>
      </c>
      <c r="D61" s="35">
        <f>IFERROR(ROUND(SUMIF('Raw Data'!$R:$R,$A61,'Raw Data'!$K:$K)/SUMIF('Raw Data'!$R:$R,$A61,'Raw Data'!$F:$F),4),"NA")</f>
        <v>-1.9E-2</v>
      </c>
      <c r="E61" s="36">
        <f>IFERROR(ROUND(LN(SUMIF('Raw Data'!$R:$R,$A61,'Raw Data'!$F:$F)),4),"NA")</f>
        <v>8.1153999999999993</v>
      </c>
      <c r="F61" s="35">
        <f>IFERROR(ROUND(SUMIF('Raw Data'!$R:$R,$A61,'Raw Data'!$N:$N)/SUMIF('Raw Data'!$R:$R,$A61,'Raw Data'!$M:$M),4),"NA")</f>
        <v>0.35709999999999997</v>
      </c>
    </row>
    <row r="62" spans="1:6" ht="15" customHeight="1">
      <c r="A62" s="17" t="str">
        <f>'Raw Data'!R59</f>
        <v>63 Moons Technologies Ltd_2022</v>
      </c>
      <c r="B62" s="35">
        <f>IFERROR(ROUND(SUMIF('Raw Data'!$R:$R,$A62,'Raw Data'!$I:$I)/SUMIF('Raw Data'!$R:$R,$A62,'Raw Data'!$F:$F),4),"NA")</f>
        <v>7.9000000000000008E-3</v>
      </c>
      <c r="C62" s="35">
        <f>IFERROR(ROUND(SUMIF('Raw Data'!$R:$R,$A62,'Raw Data'!$G:$G)/SUMIF('Raw Data'!$R:$R,$A62,'Raw Data'!$F:$F),4),"NA")</f>
        <v>0</v>
      </c>
      <c r="D62" s="35">
        <f>IFERROR(ROUND(SUMIF('Raw Data'!$R:$R,$A62,'Raw Data'!$K:$K)/SUMIF('Raw Data'!$R:$R,$A62,'Raw Data'!$F:$F),4),"NA")</f>
        <v>-1.5800000000000002E-2</v>
      </c>
      <c r="E62" s="36">
        <f>IFERROR(ROUND(LN(SUMIF('Raw Data'!$R:$R,$A62,'Raw Data'!$F:$F)),4),"NA")</f>
        <v>8.1221999999999994</v>
      </c>
      <c r="F62" s="35">
        <f>IFERROR(ROUND(SUMIF('Raw Data'!$R:$R,$A62,'Raw Data'!$N:$N)/SUMIF('Raw Data'!$R:$R,$A62,'Raw Data'!$M:$M),4),"NA")</f>
        <v>0.44440000000000002</v>
      </c>
    </row>
    <row r="63" spans="1:6" ht="15" customHeight="1">
      <c r="A63" s="17" t="str">
        <f>'Raw Data'!R60</f>
        <v>63 Moons Technologies Ltd_2023</v>
      </c>
      <c r="B63" s="35">
        <f>IFERROR(ROUND(SUMIF('Raw Data'!$R:$R,$A63,'Raw Data'!$I:$I)/SUMIF('Raw Data'!$R:$R,$A63,'Raw Data'!$F:$F),4),"NA")</f>
        <v>5.7000000000000002E-3</v>
      </c>
      <c r="C63" s="35">
        <f>IFERROR(ROUND(SUMIF('Raw Data'!$R:$R,$A63,'Raw Data'!$G:$G)/SUMIF('Raw Data'!$R:$R,$A63,'Raw Data'!$F:$F),4),"NA")</f>
        <v>0</v>
      </c>
      <c r="D63" s="35">
        <f>IFERROR(ROUND(SUMIF('Raw Data'!$R:$R,$A63,'Raw Data'!$K:$K)/SUMIF('Raw Data'!$R:$R,$A63,'Raw Data'!$F:$F),4),"NA")</f>
        <v>-4.7000000000000002E-3</v>
      </c>
      <c r="E63" s="36">
        <f>IFERROR(ROUND(LN(SUMIF('Raw Data'!$R:$R,$A63,'Raw Data'!$F:$F)),4),"NA")</f>
        <v>8.1507000000000005</v>
      </c>
      <c r="F63" s="35">
        <f>IFERROR(ROUND(SUMIF('Raw Data'!$R:$R,$A63,'Raw Data'!$N:$N)/SUMIF('Raw Data'!$R:$R,$A63,'Raw Data'!$M:$M),4),"NA")</f>
        <v>0.44440000000000002</v>
      </c>
    </row>
    <row r="64" spans="1:6" ht="15" customHeight="1">
      <c r="A64" s="17" t="str">
        <f>'Raw Data'!R61</f>
        <v>63 Moons Technologies Ltd_2024</v>
      </c>
      <c r="B64" s="35">
        <f>IFERROR(ROUND(SUMIF('Raw Data'!$R:$R,$A64,'Raw Data'!$I:$I)/SUMIF('Raw Data'!$R:$R,$A64,'Raw Data'!$F:$F),4),"NA")</f>
        <v>1.5E-3</v>
      </c>
      <c r="C64" s="35">
        <f>IFERROR(ROUND(SUMIF('Raw Data'!$R:$R,$A64,'Raw Data'!$G:$G)/SUMIF('Raw Data'!$R:$R,$A64,'Raw Data'!$F:$F),4),"NA")</f>
        <v>0</v>
      </c>
      <c r="D64" s="35">
        <f>IFERROR(ROUND(SUMIF('Raw Data'!$R:$R,$A64,'Raw Data'!$K:$K)/SUMIF('Raw Data'!$R:$R,$A64,'Raw Data'!$F:$F),4),"NA")</f>
        <v>6.0999999999999999E-2</v>
      </c>
      <c r="E64" s="36">
        <f>IFERROR(ROUND(LN(SUMIF('Raw Data'!$R:$R,$A64,'Raw Data'!$F:$F)),4),"NA")</f>
        <v>8.2012</v>
      </c>
      <c r="F64" s="35">
        <f>IFERROR(ROUND(SUMIF('Raw Data'!$R:$R,$A64,'Raw Data'!$N:$N)/SUMIF('Raw Data'!$R:$R,$A64,'Raw Data'!$M:$M),4),"NA")</f>
        <v>0.375</v>
      </c>
    </row>
    <row r="65" spans="1:6" ht="15" customHeight="1">
      <c r="A65" s="17" t="str">
        <f>'Raw Data'!R62</f>
        <v>Route Mobile Ltd_2021</v>
      </c>
      <c r="B65" s="35">
        <f>IFERROR(ROUND(SUMIF('Raw Data'!$R:$R,$A65,'Raw Data'!$I:$I)/SUMIF('Raw Data'!$R:$R,$A65,'Raw Data'!$F:$F),4),"NA")</f>
        <v>7.4999999999999997E-3</v>
      </c>
      <c r="C65" s="35">
        <f>IFERROR(ROUND(SUMIF('Raw Data'!$R:$R,$A65,'Raw Data'!$G:$G)/SUMIF('Raw Data'!$R:$R,$A65,'Raw Data'!$F:$F),4),"NA")</f>
        <v>3.8999999999999998E-3</v>
      </c>
      <c r="D65" s="35">
        <f>IFERROR(ROUND(SUMIF('Raw Data'!$R:$R,$A65,'Raw Data'!$K:$K)/SUMIF('Raw Data'!$R:$R,$A65,'Raw Data'!$F:$F),4),"NA")</f>
        <v>0.12989999999999999</v>
      </c>
      <c r="E65" s="36">
        <f>IFERROR(ROUND(LN(SUMIF('Raw Data'!$R:$R,$A65,'Raw Data'!$F:$F)),4),"NA")</f>
        <v>6.9295999999999998</v>
      </c>
      <c r="F65" s="35">
        <f>IFERROR(ROUND(SUMIF('Raw Data'!$R:$R,$A65,'Raw Data'!$N:$N)/SUMIF('Raw Data'!$R:$R,$A65,'Raw Data'!$M:$M),4),"NA")</f>
        <v>0.57140000000000002</v>
      </c>
    </row>
    <row r="66" spans="1:6" ht="15" customHeight="1">
      <c r="A66" s="17" t="str">
        <f>'Raw Data'!R63</f>
        <v>Route Mobile Ltd_2022</v>
      </c>
      <c r="B66" s="35">
        <f>IFERROR(ROUND(SUMIF('Raw Data'!$R:$R,$A66,'Raw Data'!$I:$I)/SUMIF('Raw Data'!$R:$R,$A66,'Raw Data'!$F:$F),4),"NA")</f>
        <v>6.4000000000000003E-3</v>
      </c>
      <c r="C66" s="35">
        <f>IFERROR(ROUND(SUMIF('Raw Data'!$R:$R,$A66,'Raw Data'!$G:$G)/SUMIF('Raw Data'!$R:$R,$A66,'Raw Data'!$F:$F),4),"NA")</f>
        <v>0</v>
      </c>
      <c r="D66" s="35">
        <f>IFERROR(ROUND(SUMIF('Raw Data'!$R:$R,$A66,'Raw Data'!$K:$K)/SUMIF('Raw Data'!$R:$R,$A66,'Raw Data'!$F:$F),4),"NA")</f>
        <v>6.4000000000000001E-2</v>
      </c>
      <c r="E66" s="36">
        <f>IFERROR(ROUND(LN(SUMIF('Raw Data'!$R:$R,$A66,'Raw Data'!$F:$F)),4),"NA")</f>
        <v>7.8856000000000002</v>
      </c>
      <c r="F66" s="35">
        <f>IFERROR(ROUND(SUMIF('Raw Data'!$R:$R,$A66,'Raw Data'!$N:$N)/SUMIF('Raw Data'!$R:$R,$A66,'Raw Data'!$M:$M),4),"NA")</f>
        <v>0.57140000000000002</v>
      </c>
    </row>
    <row r="67" spans="1:6" ht="15" customHeight="1">
      <c r="A67" s="17" t="str">
        <f>'Raw Data'!R64</f>
        <v>Route Mobile Ltd_2023</v>
      </c>
      <c r="B67" s="35">
        <f>IFERROR(ROUND(SUMIF('Raw Data'!$R:$R,$A67,'Raw Data'!$I:$I)/SUMIF('Raw Data'!$R:$R,$A67,'Raw Data'!$F:$F),4),"NA")</f>
        <v>1.32E-2</v>
      </c>
      <c r="C67" s="35">
        <f>IFERROR(ROUND(SUMIF('Raw Data'!$R:$R,$A67,'Raw Data'!$G:$G)/SUMIF('Raw Data'!$R:$R,$A67,'Raw Data'!$F:$F),4),"NA")</f>
        <v>3.6799999999999999E-2</v>
      </c>
      <c r="D67" s="35">
        <f>IFERROR(ROUND(SUMIF('Raw Data'!$R:$R,$A67,'Raw Data'!$K:$K)/SUMIF('Raw Data'!$R:$R,$A67,'Raw Data'!$F:$F),4),"NA")</f>
        <v>0.1154</v>
      </c>
      <c r="E67" s="36">
        <f>IFERROR(ROUND(LN(SUMIF('Raw Data'!$R:$R,$A67,'Raw Data'!$F:$F)),4),"NA")</f>
        <v>7.9673999999999996</v>
      </c>
      <c r="F67" s="35">
        <f>IFERROR(ROUND(SUMIF('Raw Data'!$R:$R,$A67,'Raw Data'!$N:$N)/SUMIF('Raw Data'!$R:$R,$A67,'Raw Data'!$M:$M),4),"NA")</f>
        <v>0.57140000000000002</v>
      </c>
    </row>
    <row r="68" spans="1:6" ht="15" customHeight="1">
      <c r="A68" s="17" t="str">
        <f>'Raw Data'!R65</f>
        <v>Route Mobile Ltd_2024</v>
      </c>
      <c r="B68" s="35">
        <f>IFERROR(ROUND(SUMIF('Raw Data'!$R:$R,$A68,'Raw Data'!$I:$I)/SUMIF('Raw Data'!$R:$R,$A68,'Raw Data'!$F:$F),4),"NA")</f>
        <v>1.03E-2</v>
      </c>
      <c r="C68" s="35">
        <f>IFERROR(ROUND(SUMIF('Raw Data'!$R:$R,$A68,'Raw Data'!$G:$G)/SUMIF('Raw Data'!$R:$R,$A68,'Raw Data'!$F:$F),4),"NA")</f>
        <v>0.1007</v>
      </c>
      <c r="D68" s="35">
        <f>IFERROR(ROUND(SUMIF('Raw Data'!$R:$R,$A68,'Raw Data'!$K:$K)/SUMIF('Raw Data'!$R:$R,$A68,'Raw Data'!$F:$F),4),"NA")</f>
        <v>0.112</v>
      </c>
      <c r="E68" s="36">
        <f>IFERROR(ROUND(LN(SUMIF('Raw Data'!$R:$R,$A68,'Raw Data'!$F:$F)),4),"NA")</f>
        <v>8.1524999999999999</v>
      </c>
      <c r="F68" s="35">
        <f>IFERROR(ROUND(SUMIF('Raw Data'!$R:$R,$A68,'Raw Data'!$N:$N)/SUMIF('Raw Data'!$R:$R,$A68,'Raw Data'!$M:$M),4),"NA")</f>
        <v>0.57140000000000002</v>
      </c>
    </row>
    <row r="69" spans="1:6" ht="15" customHeight="1">
      <c r="A69" s="17" t="str">
        <f>'Raw Data'!R66</f>
        <v>IIFL Securities Ltd_2021</v>
      </c>
      <c r="B69" s="35">
        <f>IFERROR(ROUND(SUMIF('Raw Data'!$R:$R,$A69,'Raw Data'!$I:$I)/SUMIF('Raw Data'!$R:$R,$A69,'Raw Data'!$F:$F),4),"NA")</f>
        <v>4.2999999999999997E-2</v>
      </c>
      <c r="C69" s="35">
        <f>IFERROR(ROUND(SUMIF('Raw Data'!$R:$R,$A69,'Raw Data'!$G:$G)/SUMIF('Raw Data'!$R:$R,$A69,'Raw Data'!$F:$F),4),"NA")</f>
        <v>8.2299999999999998E-2</v>
      </c>
      <c r="D69" s="35">
        <f>IFERROR(ROUND(SUMIF('Raw Data'!$R:$R,$A69,'Raw Data'!$K:$K)/SUMIF('Raw Data'!$R:$R,$A69,'Raw Data'!$F:$F),4),"NA")</f>
        <v>6.2199999999999998E-2</v>
      </c>
      <c r="E69" s="36">
        <f>IFERROR(ROUND(LN(SUMIF('Raw Data'!$R:$R,$A69,'Raw Data'!$F:$F)),4),"NA")</f>
        <v>8.173</v>
      </c>
      <c r="F69" s="35">
        <f>IFERROR(ROUND(SUMIF('Raw Data'!$R:$R,$A69,'Raw Data'!$N:$N)/SUMIF('Raw Data'!$R:$R,$A69,'Raw Data'!$M:$M),4),"NA")</f>
        <v>0.66669999999999996</v>
      </c>
    </row>
    <row r="70" spans="1:6" ht="15" customHeight="1">
      <c r="A70" s="17" t="str">
        <f>'Raw Data'!R67</f>
        <v>IIFL Securities Ltd_2022</v>
      </c>
      <c r="B70" s="35">
        <f>IFERROR(ROUND(SUMIF('Raw Data'!$R:$R,$A70,'Raw Data'!$I:$I)/SUMIF('Raw Data'!$R:$R,$A70,'Raw Data'!$F:$F),4),"NA")</f>
        <v>3.0000000000000001E-3</v>
      </c>
      <c r="C70" s="35">
        <f>IFERROR(ROUND(SUMIF('Raw Data'!$R:$R,$A70,'Raw Data'!$G:$G)/SUMIF('Raw Data'!$R:$R,$A70,'Raw Data'!$F:$F),4),"NA")</f>
        <v>0.10050000000000001</v>
      </c>
      <c r="D70" s="35">
        <f>IFERROR(ROUND(SUMIF('Raw Data'!$R:$R,$A70,'Raw Data'!$K:$K)/SUMIF('Raw Data'!$R:$R,$A70,'Raw Data'!$F:$F),4),"NA")</f>
        <v>5.0599999999999999E-2</v>
      </c>
      <c r="E70" s="36">
        <f>IFERROR(ROUND(LN(SUMIF('Raw Data'!$R:$R,$A70,'Raw Data'!$F:$F)),4),"NA")</f>
        <v>8.7063000000000006</v>
      </c>
      <c r="F70" s="35">
        <f>IFERROR(ROUND(SUMIF('Raw Data'!$R:$R,$A70,'Raw Data'!$N:$N)/SUMIF('Raw Data'!$R:$R,$A70,'Raw Data'!$M:$M),4),"NA")</f>
        <v>0.66669999999999996</v>
      </c>
    </row>
    <row r="71" spans="1:6" ht="15" customHeight="1">
      <c r="A71" s="17" t="str">
        <f>'Raw Data'!R68</f>
        <v>IIFL Securities Ltd_2023</v>
      </c>
      <c r="B71" s="35">
        <f>IFERROR(ROUND(SUMIF('Raw Data'!$R:$R,$A71,'Raw Data'!$I:$I)/SUMIF('Raw Data'!$R:$R,$A71,'Raw Data'!$F:$F),4),"NA")</f>
        <v>2.5000000000000001E-3</v>
      </c>
      <c r="C71" s="35">
        <f>IFERROR(ROUND(SUMIF('Raw Data'!$R:$R,$A71,'Raw Data'!$G:$G)/SUMIF('Raw Data'!$R:$R,$A71,'Raw Data'!$F:$F),4),"NA")</f>
        <v>9.2799999999999994E-2</v>
      </c>
      <c r="D71" s="35">
        <f>IFERROR(ROUND(SUMIF('Raw Data'!$R:$R,$A71,'Raw Data'!$K:$K)/SUMIF('Raw Data'!$R:$R,$A71,'Raw Data'!$F:$F),4),"NA")</f>
        <v>4.7699999999999999E-2</v>
      </c>
      <c r="E71" s="36">
        <f>IFERROR(ROUND(LN(SUMIF('Raw Data'!$R:$R,$A71,'Raw Data'!$F:$F)),4),"NA")</f>
        <v>8.5635999999999992</v>
      </c>
      <c r="F71" s="35">
        <f>IFERROR(ROUND(SUMIF('Raw Data'!$R:$R,$A71,'Raw Data'!$N:$N)/SUMIF('Raw Data'!$R:$R,$A71,'Raw Data'!$M:$M),4),"NA")</f>
        <v>0.66669999999999996</v>
      </c>
    </row>
    <row r="72" spans="1:6" ht="15" customHeight="1">
      <c r="A72" s="17" t="str">
        <f>'Raw Data'!R69</f>
        <v>IIFL Securities Ltd_2024</v>
      </c>
      <c r="B72" s="35">
        <f>IFERROR(ROUND(SUMIF('Raw Data'!$R:$R,$A72,'Raw Data'!$I:$I)/SUMIF('Raw Data'!$R:$R,$A72,'Raw Data'!$F:$F),4),"NA")</f>
        <v>4.0000000000000001E-3</v>
      </c>
      <c r="C72" s="35">
        <f>IFERROR(ROUND(SUMIF('Raw Data'!$R:$R,$A72,'Raw Data'!$G:$G)/SUMIF('Raw Data'!$R:$R,$A72,'Raw Data'!$F:$F),4),"NA")</f>
        <v>0.14649999999999999</v>
      </c>
      <c r="D72" s="35">
        <f>IFERROR(ROUND(SUMIF('Raw Data'!$R:$R,$A72,'Raw Data'!$K:$K)/SUMIF('Raw Data'!$R:$R,$A72,'Raw Data'!$F:$F),4),"NA")</f>
        <v>6.5199999999999994E-2</v>
      </c>
      <c r="E72" s="36">
        <f>IFERROR(ROUND(LN(SUMIF('Raw Data'!$R:$R,$A72,'Raw Data'!$F:$F)),4),"NA")</f>
        <v>8.9713999999999992</v>
      </c>
      <c r="F72" s="35">
        <f>IFERROR(ROUND(SUMIF('Raw Data'!$R:$R,$A72,'Raw Data'!$N:$N)/SUMIF('Raw Data'!$R:$R,$A72,'Raw Data'!$M:$M),4),"NA")</f>
        <v>0.57140000000000002</v>
      </c>
    </row>
    <row r="73" spans="1:6" ht="15" customHeight="1">
      <c r="A73" s="17" t="str">
        <f>'Raw Data'!R70</f>
        <v>Motilal Oswal Financial Services Ltd_2021</v>
      </c>
      <c r="B73" s="35">
        <f>IFERROR(ROUND(SUMIF('Raw Data'!$R:$R,$A73,'Raw Data'!$I:$I)/SUMIF('Raw Data'!$R:$R,$A73,'Raw Data'!$F:$F),4),"NA")</f>
        <v>4.5999999999999999E-3</v>
      </c>
      <c r="C73" s="35">
        <f>IFERROR(ROUND(SUMIF('Raw Data'!$R:$R,$A73,'Raw Data'!$G:$G)/SUMIF('Raw Data'!$R:$R,$A73,'Raw Data'!$F:$F),4),"NA")</f>
        <v>0.40329999999999999</v>
      </c>
      <c r="D73" s="35">
        <f>IFERROR(ROUND(SUMIF('Raw Data'!$R:$R,$A73,'Raw Data'!$K:$K)/SUMIF('Raw Data'!$R:$R,$A73,'Raw Data'!$F:$F),4),"NA")</f>
        <v>8.8200000000000001E-2</v>
      </c>
      <c r="E73" s="36">
        <f>IFERROR(ROUND(LN(SUMIF('Raw Data'!$R:$R,$A73,'Raw Data'!$F:$F)),4),"NA")</f>
        <v>9.5550999999999995</v>
      </c>
      <c r="F73" s="35">
        <f>IFERROR(ROUND(SUMIF('Raw Data'!$R:$R,$A73,'Raw Data'!$N:$N)/SUMIF('Raw Data'!$R:$R,$A73,'Raw Data'!$M:$M),4),"NA")</f>
        <v>0.5</v>
      </c>
    </row>
    <row r="74" spans="1:6" ht="15" customHeight="1">
      <c r="A74" s="17" t="str">
        <f>'Raw Data'!R71</f>
        <v>Motilal Oswal Financial Services Ltd_2022</v>
      </c>
      <c r="B74" s="35">
        <f>IFERROR(ROUND(SUMIF('Raw Data'!$R:$R,$A74,'Raw Data'!$I:$I)/SUMIF('Raw Data'!$R:$R,$A74,'Raw Data'!$F:$F),4),"NA")</f>
        <v>3.2000000000000002E-3</v>
      </c>
      <c r="C74" s="35">
        <f>IFERROR(ROUND(SUMIF('Raw Data'!$R:$R,$A74,'Raw Data'!$G:$G)/SUMIF('Raw Data'!$R:$R,$A74,'Raw Data'!$F:$F),4),"NA")</f>
        <v>0.36349999999999999</v>
      </c>
      <c r="D74" s="35">
        <f>IFERROR(ROUND(SUMIF('Raw Data'!$R:$R,$A74,'Raw Data'!$K:$K)/SUMIF('Raw Data'!$R:$R,$A74,'Raw Data'!$F:$F),4),"NA")</f>
        <v>7.7399999999999997E-2</v>
      </c>
      <c r="E74" s="36">
        <f>IFERROR(ROUND(LN(SUMIF('Raw Data'!$R:$R,$A74,'Raw Data'!$F:$F)),4),"NA")</f>
        <v>9.7363999999999997</v>
      </c>
      <c r="F74" s="35">
        <f>IFERROR(ROUND(SUMIF('Raw Data'!$R:$R,$A74,'Raw Data'!$N:$N)/SUMIF('Raw Data'!$R:$R,$A74,'Raw Data'!$M:$M),4),"NA")</f>
        <v>0.5</v>
      </c>
    </row>
    <row r="75" spans="1:6" ht="15" customHeight="1">
      <c r="A75" s="17" t="str">
        <f>'Raw Data'!R72</f>
        <v>Motilal Oswal Financial Services Ltd_2023</v>
      </c>
      <c r="B75" s="35">
        <f>IFERROR(ROUND(SUMIF('Raw Data'!$R:$R,$A75,'Raw Data'!$I:$I)/SUMIF('Raw Data'!$R:$R,$A75,'Raw Data'!$F:$F),4),"NA")</f>
        <v>7.3000000000000001E-3</v>
      </c>
      <c r="C75" s="35">
        <f>IFERROR(ROUND(SUMIF('Raw Data'!$R:$R,$A75,'Raw Data'!$G:$G)/SUMIF('Raw Data'!$R:$R,$A75,'Raw Data'!$F:$F),4),"NA")</f>
        <v>0.4466</v>
      </c>
      <c r="D75" s="35">
        <f>IFERROR(ROUND(SUMIF('Raw Data'!$R:$R,$A75,'Raw Data'!$K:$K)/SUMIF('Raw Data'!$R:$R,$A75,'Raw Data'!$F:$F),4),"NA")</f>
        <v>4.0500000000000001E-2</v>
      </c>
      <c r="E75" s="36">
        <f>IFERROR(ROUND(LN(SUMIF('Raw Data'!$R:$R,$A75,'Raw Data'!$F:$F)),4),"NA")</f>
        <v>10.043699999999999</v>
      </c>
      <c r="F75" s="35">
        <f>IFERROR(ROUND(SUMIF('Raw Data'!$R:$R,$A75,'Raw Data'!$N:$N)/SUMIF('Raw Data'!$R:$R,$A75,'Raw Data'!$M:$M),4),"NA")</f>
        <v>0.5</v>
      </c>
    </row>
    <row r="76" spans="1:6" ht="15" customHeight="1">
      <c r="A76" s="17" t="str">
        <f>'Raw Data'!R73</f>
        <v>Motilal Oswal Financial Services Ltd_2024</v>
      </c>
      <c r="B76" s="35">
        <f>IFERROR(ROUND(SUMIF('Raw Data'!$R:$R,$A76,'Raw Data'!$I:$I)/SUMIF('Raw Data'!$R:$R,$A76,'Raw Data'!$F:$F),4),"NA")</f>
        <v>4.7000000000000002E-3</v>
      </c>
      <c r="C76" s="35">
        <f>IFERROR(ROUND(SUMIF('Raw Data'!$R:$R,$A76,'Raw Data'!$G:$G)/SUMIF('Raw Data'!$R:$R,$A76,'Raw Data'!$F:$F),4),"NA")</f>
        <v>0.43190000000000001</v>
      </c>
      <c r="D76" s="35">
        <f>IFERROR(ROUND(SUMIF('Raw Data'!$R:$R,$A76,'Raw Data'!$K:$K)/SUMIF('Raw Data'!$R:$R,$A76,'Raw Data'!$F:$F),4),"NA")</f>
        <v>7.6700000000000004E-2</v>
      </c>
      <c r="E76" s="36">
        <f>IFERROR(ROUND(LN(SUMIF('Raw Data'!$R:$R,$A76,'Raw Data'!$F:$F)),4),"NA")</f>
        <v>10.3681</v>
      </c>
      <c r="F76" s="35">
        <f>IFERROR(ROUND(SUMIF('Raw Data'!$R:$R,$A76,'Raw Data'!$N:$N)/SUMIF('Raw Data'!$R:$R,$A76,'Raw Data'!$M:$M),4),"NA")</f>
        <v>0.5</v>
      </c>
    </row>
    <row r="77" spans="1:6" ht="15" customHeight="1">
      <c r="A77" s="17" t="str">
        <f>'Raw Data'!R74</f>
        <v>Geojit Financial Services Ltd_2021</v>
      </c>
      <c r="B77" s="35">
        <f>IFERROR(ROUND(SUMIF('Raw Data'!$R:$R,$A77,'Raw Data'!$I:$I)/SUMIF('Raw Data'!$R:$R,$A77,'Raw Data'!$F:$F),4),"NA")</f>
        <v>6.4999999999999997E-3</v>
      </c>
      <c r="C77" s="35">
        <f>IFERROR(ROUND(SUMIF('Raw Data'!$R:$R,$A77,'Raw Data'!$G:$G)/SUMIF('Raw Data'!$R:$R,$A77,'Raw Data'!$F:$F),4),"NA")</f>
        <v>1.2800000000000001E-2</v>
      </c>
      <c r="D77" s="35">
        <f>IFERROR(ROUND(SUMIF('Raw Data'!$R:$R,$A77,'Raw Data'!$K:$K)/SUMIF('Raw Data'!$R:$R,$A77,'Raw Data'!$F:$F),4),"NA")</f>
        <v>0.1084</v>
      </c>
      <c r="E77" s="36">
        <f>IFERROR(ROUND(LN(SUMIF('Raw Data'!$R:$R,$A77,'Raw Data'!$F:$F)),4),"NA")</f>
        <v>7.0625999999999998</v>
      </c>
      <c r="F77" s="35">
        <f>IFERROR(ROUND(SUMIF('Raw Data'!$R:$R,$A77,'Raw Data'!$N:$N)/SUMIF('Raw Data'!$R:$R,$A77,'Raw Data'!$M:$M),4),"NA")</f>
        <v>0.5</v>
      </c>
    </row>
    <row r="78" spans="1:6" ht="15" customHeight="1">
      <c r="A78" s="17" t="str">
        <f>'Raw Data'!R75</f>
        <v>Geojit Financial Services Ltd_2022</v>
      </c>
      <c r="B78" s="35">
        <f>IFERROR(ROUND(SUMIF('Raw Data'!$R:$R,$A78,'Raw Data'!$I:$I)/SUMIF('Raw Data'!$R:$R,$A78,'Raw Data'!$F:$F),4),"NA")</f>
        <v>1.44E-2</v>
      </c>
      <c r="C78" s="35">
        <f>IFERROR(ROUND(SUMIF('Raw Data'!$R:$R,$A78,'Raw Data'!$G:$G)/SUMIF('Raw Data'!$R:$R,$A78,'Raw Data'!$F:$F),4),"NA")</f>
        <v>3.4099999999999998E-2</v>
      </c>
      <c r="D78" s="35">
        <f>IFERROR(ROUND(SUMIF('Raw Data'!$R:$R,$A78,'Raw Data'!$K:$K)/SUMIF('Raw Data'!$R:$R,$A78,'Raw Data'!$F:$F),4),"NA")</f>
        <v>0.1091</v>
      </c>
      <c r="E78" s="36">
        <f>IFERROR(ROUND(LN(SUMIF('Raw Data'!$R:$R,$A78,'Raw Data'!$F:$F)),4),"NA")</f>
        <v>7.2552000000000003</v>
      </c>
      <c r="F78" s="35">
        <f>IFERROR(ROUND(SUMIF('Raw Data'!$R:$R,$A78,'Raw Data'!$N:$N)/SUMIF('Raw Data'!$R:$R,$A78,'Raw Data'!$M:$M),4),"NA")</f>
        <v>0.53849999999999998</v>
      </c>
    </row>
    <row r="79" spans="1:6" ht="15" customHeight="1">
      <c r="A79" s="17" t="str">
        <f>'Raw Data'!R76</f>
        <v>Geojit Financial Services Ltd_2023</v>
      </c>
      <c r="B79" s="35">
        <f>IFERROR(ROUND(SUMIF('Raw Data'!$R:$R,$A79,'Raw Data'!$I:$I)/SUMIF('Raw Data'!$R:$R,$A79,'Raw Data'!$F:$F),4),"NA")</f>
        <v>1.72E-2</v>
      </c>
      <c r="C79" s="35">
        <f>IFERROR(ROUND(SUMIF('Raw Data'!$R:$R,$A79,'Raw Data'!$G:$G)/SUMIF('Raw Data'!$R:$R,$A79,'Raw Data'!$F:$F),4),"NA")</f>
        <v>5.8700000000000002E-2</v>
      </c>
      <c r="D79" s="35">
        <f>IFERROR(ROUND(SUMIF('Raw Data'!$R:$R,$A79,'Raw Data'!$K:$K)/SUMIF('Raw Data'!$R:$R,$A79,'Raw Data'!$F:$F),4),"NA")</f>
        <v>7.6399999999999996E-2</v>
      </c>
      <c r="E79" s="36">
        <f>IFERROR(ROUND(LN(SUMIF('Raw Data'!$R:$R,$A79,'Raw Data'!$F:$F)),4),"NA")</f>
        <v>7.1863999999999999</v>
      </c>
      <c r="F79" s="35">
        <f>IFERROR(ROUND(SUMIF('Raw Data'!$R:$R,$A79,'Raw Data'!$N:$N)/SUMIF('Raw Data'!$R:$R,$A79,'Raw Data'!$M:$M),4),"NA")</f>
        <v>0.53849999999999998</v>
      </c>
    </row>
    <row r="80" spans="1:6" ht="15" customHeight="1">
      <c r="A80" s="17" t="str">
        <f>'Raw Data'!R77</f>
        <v>Geojit Financial Services Ltd_2024</v>
      </c>
      <c r="B80" s="35">
        <f>IFERROR(ROUND(SUMIF('Raw Data'!$R:$R,$A80,'Raw Data'!$I:$I)/SUMIF('Raw Data'!$R:$R,$A80,'Raw Data'!$F:$F),4),"NA")</f>
        <v>9.5999999999999992E-3</v>
      </c>
      <c r="C80" s="35">
        <f>IFERROR(ROUND(SUMIF('Raw Data'!$R:$R,$A80,'Raw Data'!$G:$G)/SUMIF('Raw Data'!$R:$R,$A80,'Raw Data'!$F:$F),4),"NA")</f>
        <v>0.1734</v>
      </c>
      <c r="D80" s="35">
        <f>IFERROR(ROUND(SUMIF('Raw Data'!$R:$R,$A80,'Raw Data'!$K:$K)/SUMIF('Raw Data'!$R:$R,$A80,'Raw Data'!$F:$F),4),"NA")</f>
        <v>7.3899999999999993E-2</v>
      </c>
      <c r="E80" s="36">
        <f>IFERROR(ROUND(LN(SUMIF('Raw Data'!$R:$R,$A80,'Raw Data'!$F:$F)),4),"NA")</f>
        <v>7.6109999999999998</v>
      </c>
      <c r="F80" s="35">
        <f>IFERROR(ROUND(SUMIF('Raw Data'!$R:$R,$A80,'Raw Data'!$N:$N)/SUMIF('Raw Data'!$R:$R,$A80,'Raw Data'!$M:$M),4),"NA")</f>
        <v>0.53849999999999998</v>
      </c>
    </row>
    <row r="81" spans="1:6" ht="15" customHeight="1">
      <c r="A81" s="17" t="str">
        <f>'Raw Data'!R78</f>
        <v>Anand Rathi Wealth Ltd_2021</v>
      </c>
      <c r="B81" s="35">
        <f>IFERROR(ROUND(SUMIF('Raw Data'!$R:$R,$A81,'Raw Data'!$I:$I)/SUMIF('Raw Data'!$R:$R,$A81,'Raw Data'!$F:$F),4),"NA")</f>
        <v>1.1900000000000001E-2</v>
      </c>
      <c r="C81" s="35">
        <f>IFERROR(ROUND(SUMIF('Raw Data'!$R:$R,$A81,'Raw Data'!$G:$G)/SUMIF('Raw Data'!$R:$R,$A81,'Raw Data'!$F:$F),4),"NA")</f>
        <v>9.8199999999999996E-2</v>
      </c>
      <c r="D81" s="35">
        <f>IFERROR(ROUND(SUMIF('Raw Data'!$R:$R,$A81,'Raw Data'!$K:$K)/SUMIF('Raw Data'!$R:$R,$A81,'Raw Data'!$F:$F),4),"NA")</f>
        <v>0.1313</v>
      </c>
      <c r="E81" s="36">
        <f>IFERROR(ROUND(LN(SUMIF('Raw Data'!$R:$R,$A81,'Raw Data'!$F:$F)),4),"NA")</f>
        <v>5.8281999999999998</v>
      </c>
      <c r="F81" s="35">
        <f>IFERROR(ROUND(SUMIF('Raw Data'!$R:$R,$A81,'Raw Data'!$N:$N)/SUMIF('Raw Data'!$R:$R,$A81,'Raw Data'!$M:$M),4),"NA")</f>
        <v>0.5</v>
      </c>
    </row>
    <row r="82" spans="1:6" ht="15" customHeight="1">
      <c r="A82" s="17" t="str">
        <f>'Raw Data'!R79</f>
        <v>Anand Rathi Wealth Ltd_2022</v>
      </c>
      <c r="B82" s="35">
        <f>IFERROR(ROUND(SUMIF('Raw Data'!$R:$R,$A82,'Raw Data'!$I:$I)/SUMIF('Raw Data'!$R:$R,$A82,'Raw Data'!$F:$F),4),"NA")</f>
        <v>3.15E-2</v>
      </c>
      <c r="C82" s="35">
        <f>IFERROR(ROUND(SUMIF('Raw Data'!$R:$R,$A82,'Raw Data'!$G:$G)/SUMIF('Raw Data'!$R:$R,$A82,'Raw Data'!$F:$F),4),"NA")</f>
        <v>5.1999999999999998E-2</v>
      </c>
      <c r="D82" s="35">
        <f>IFERROR(ROUND(SUMIF('Raw Data'!$R:$R,$A82,'Raw Data'!$K:$K)/SUMIF('Raw Data'!$R:$R,$A82,'Raw Data'!$F:$F),4),"NA")</f>
        <v>0.2641</v>
      </c>
      <c r="E82" s="36">
        <f>IFERROR(ROUND(LN(SUMIF('Raw Data'!$R:$R,$A82,'Raw Data'!$F:$F)),4),"NA")</f>
        <v>6.1741000000000001</v>
      </c>
      <c r="F82" s="35">
        <f>IFERROR(ROUND(SUMIF('Raw Data'!$R:$R,$A82,'Raw Data'!$N:$N)/SUMIF('Raw Data'!$R:$R,$A82,'Raw Data'!$M:$M),4),"NA")</f>
        <v>0.5</v>
      </c>
    </row>
    <row r="83" spans="1:6" ht="15" customHeight="1">
      <c r="A83" s="17" t="str">
        <f>'Raw Data'!R80</f>
        <v>Anand Rathi Wealth Ltd_2023</v>
      </c>
      <c r="B83" s="35">
        <f>IFERROR(ROUND(SUMIF('Raw Data'!$R:$R,$A83,'Raw Data'!$I:$I)/SUMIF('Raw Data'!$R:$R,$A83,'Raw Data'!$F:$F),4),"NA")</f>
        <v>2.6599999999999999E-2</v>
      </c>
      <c r="C83" s="35">
        <f>IFERROR(ROUND(SUMIF('Raw Data'!$R:$R,$A83,'Raw Data'!$G:$G)/SUMIF('Raw Data'!$R:$R,$A83,'Raw Data'!$F:$F),4),"NA")</f>
        <v>2.69E-2</v>
      </c>
      <c r="D83" s="35">
        <f>IFERROR(ROUND(SUMIF('Raw Data'!$R:$R,$A83,'Raw Data'!$K:$K)/SUMIF('Raw Data'!$R:$R,$A83,'Raw Data'!$F:$F),4),"NA")</f>
        <v>0.27010000000000001</v>
      </c>
      <c r="E83" s="36">
        <f>IFERROR(ROUND(LN(SUMIF('Raw Data'!$R:$R,$A83,'Raw Data'!$F:$F)),4),"NA")</f>
        <v>6.4363000000000001</v>
      </c>
      <c r="F83" s="35">
        <f>IFERROR(ROUND(SUMIF('Raw Data'!$R:$R,$A83,'Raw Data'!$N:$N)/SUMIF('Raw Data'!$R:$R,$A83,'Raw Data'!$M:$M),4),"NA")</f>
        <v>0.57140000000000002</v>
      </c>
    </row>
    <row r="84" spans="1:6" ht="15" customHeight="1">
      <c r="A84" s="17" t="str">
        <f>'Raw Data'!R81</f>
        <v>Anand Rathi Wealth Ltd_2024</v>
      </c>
      <c r="B84" s="35">
        <f>IFERROR(ROUND(SUMIF('Raw Data'!$R:$R,$A84,'Raw Data'!$I:$I)/SUMIF('Raw Data'!$R:$R,$A84,'Raw Data'!$F:$F),4),"NA")</f>
        <v>5.1999999999999998E-3</v>
      </c>
      <c r="C84" s="35">
        <f>IFERROR(ROUND(SUMIF('Raw Data'!$R:$R,$A84,'Raw Data'!$G:$G)/SUMIF('Raw Data'!$R:$R,$A84,'Raw Data'!$F:$F),4),"NA")</f>
        <v>9.7000000000000003E-3</v>
      </c>
      <c r="D84" s="35">
        <f>IFERROR(ROUND(SUMIF('Raw Data'!$R:$R,$A84,'Raw Data'!$K:$K)/SUMIF('Raw Data'!$R:$R,$A84,'Raw Data'!$F:$F),4),"NA")</f>
        <v>0.25669999999999998</v>
      </c>
      <c r="E84" s="36">
        <f>IFERROR(ROUND(LN(SUMIF('Raw Data'!$R:$R,$A84,'Raw Data'!$F:$F)),4),"NA")</f>
        <v>6.7796000000000003</v>
      </c>
      <c r="F84" s="35">
        <f>IFERROR(ROUND(SUMIF('Raw Data'!$R:$R,$A84,'Raw Data'!$N:$N)/SUMIF('Raw Data'!$R:$R,$A84,'Raw Data'!$M:$M),4),"NA")</f>
        <v>0.57140000000000002</v>
      </c>
    </row>
    <row r="85" spans="1:6" ht="15" customHeight="1">
      <c r="A85" s="17" t="str">
        <f>'Raw Data'!R82</f>
        <v>SBI Cards and Payment Services Ltd_2021</v>
      </c>
      <c r="B85" s="35">
        <f>IFERROR(ROUND(SUMIF('Raw Data'!$R:$R,$A85,'Raw Data'!$I:$I)/SUMIF('Raw Data'!$R:$R,$A85,'Raw Data'!$F:$F),4),"NA")</f>
        <v>2.0999999999999999E-3</v>
      </c>
      <c r="C85" s="35">
        <f>IFERROR(ROUND(SUMIF('Raw Data'!$R:$R,$A85,'Raw Data'!$G:$G)/SUMIF('Raw Data'!$R:$R,$A85,'Raw Data'!$F:$F),4),"NA")</f>
        <v>0.66249999999999998</v>
      </c>
      <c r="D85" s="35">
        <f>IFERROR(ROUND(SUMIF('Raw Data'!$R:$R,$A85,'Raw Data'!$K:$K)/SUMIF('Raw Data'!$R:$R,$A85,'Raw Data'!$F:$F),4),"NA")</f>
        <v>3.6400000000000002E-2</v>
      </c>
      <c r="E85" s="36">
        <f>IFERROR(ROUND(LN(SUMIF('Raw Data'!$R:$R,$A85,'Raw Data'!$F:$F)),4),"NA")</f>
        <v>10.2041</v>
      </c>
      <c r="F85" s="35">
        <f>IFERROR(ROUND(SUMIF('Raw Data'!$R:$R,$A85,'Raw Data'!$N:$N)/SUMIF('Raw Data'!$R:$R,$A85,'Raw Data'!$M:$M),4),"NA")</f>
        <v>0.55559999999999998</v>
      </c>
    </row>
    <row r="86" spans="1:6" ht="15" customHeight="1">
      <c r="A86" s="17" t="str">
        <f>'Raw Data'!R83</f>
        <v>SBI Cards and Payment Services Ltd_2022</v>
      </c>
      <c r="B86" s="35">
        <f>IFERROR(ROUND(SUMIF('Raw Data'!$R:$R,$A86,'Raw Data'!$I:$I)/SUMIF('Raw Data'!$R:$R,$A86,'Raw Data'!$F:$F),4),"NA")</f>
        <v>2.8999999999999998E-3</v>
      </c>
      <c r="C86" s="35">
        <f>IFERROR(ROUND(SUMIF('Raw Data'!$R:$R,$A86,'Raw Data'!$G:$G)/SUMIF('Raw Data'!$R:$R,$A86,'Raw Data'!$F:$F),4),"NA")</f>
        <v>0.6633</v>
      </c>
      <c r="D86" s="35">
        <f>IFERROR(ROUND(SUMIF('Raw Data'!$R:$R,$A86,'Raw Data'!$K:$K)/SUMIF('Raw Data'!$R:$R,$A86,'Raw Data'!$F:$F),4),"NA")</f>
        <v>4.6600000000000003E-2</v>
      </c>
      <c r="E86" s="36">
        <f>IFERROR(ROUND(LN(SUMIF('Raw Data'!$R:$R,$A86,'Raw Data'!$F:$F)),4),"NA")</f>
        <v>10.452999999999999</v>
      </c>
      <c r="F86" s="35">
        <f>IFERROR(ROUND(SUMIF('Raw Data'!$R:$R,$A86,'Raw Data'!$N:$N)/SUMIF('Raw Data'!$R:$R,$A86,'Raw Data'!$M:$M),4),"NA")</f>
        <v>0.55559999999999998</v>
      </c>
    </row>
    <row r="87" spans="1:6" ht="15" customHeight="1">
      <c r="A87" s="17" t="str">
        <f>'Raw Data'!R84</f>
        <v>SBI Cards and Payment Services Ltd_2023</v>
      </c>
      <c r="B87" s="35">
        <f>IFERROR(ROUND(SUMIF('Raw Data'!$R:$R,$A87,'Raw Data'!$I:$I)/SUMIF('Raw Data'!$R:$R,$A87,'Raw Data'!$F:$F),4),"NA")</f>
        <v>2.0999999999999999E-3</v>
      </c>
      <c r="C87" s="35">
        <f>IFERROR(ROUND(SUMIF('Raw Data'!$R:$R,$A87,'Raw Data'!$G:$G)/SUMIF('Raw Data'!$R:$R,$A87,'Raw Data'!$F:$F),4),"NA")</f>
        <v>0.68300000000000005</v>
      </c>
      <c r="D87" s="35">
        <f>IFERROR(ROUND(SUMIF('Raw Data'!$R:$R,$A87,'Raw Data'!$K:$K)/SUMIF('Raw Data'!$R:$R,$A87,'Raw Data'!$F:$F),4),"NA")</f>
        <v>4.9599999999999998E-2</v>
      </c>
      <c r="E87" s="36">
        <f>IFERROR(ROUND(LN(SUMIF('Raw Data'!$R:$R,$A87,'Raw Data'!$F:$F)),4),"NA")</f>
        <v>10.7265</v>
      </c>
      <c r="F87" s="35">
        <f>IFERROR(ROUND(SUMIF('Raw Data'!$R:$R,$A87,'Raw Data'!$N:$N)/SUMIF('Raw Data'!$R:$R,$A87,'Raw Data'!$M:$M),4),"NA")</f>
        <v>0.55559999999999998</v>
      </c>
    </row>
    <row r="88" spans="1:6" ht="15" customHeight="1">
      <c r="A88" s="17" t="str">
        <f>'Raw Data'!R85</f>
        <v>SBI Cards and Payment Services Ltd_2024</v>
      </c>
      <c r="B88" s="35">
        <f>IFERROR(ROUND(SUMIF('Raw Data'!$R:$R,$A88,'Raw Data'!$I:$I)/SUMIF('Raw Data'!$R:$R,$A88,'Raw Data'!$F:$F),4),"NA")</f>
        <v>1.2999999999999999E-3</v>
      </c>
      <c r="C88" s="35">
        <f>IFERROR(ROUND(SUMIF('Raw Data'!$R:$R,$A88,'Raw Data'!$G:$G)/SUMIF('Raw Data'!$R:$R,$A88,'Raw Data'!$F:$F),4),"NA")</f>
        <v>0.68579999999999997</v>
      </c>
      <c r="D88" s="35">
        <f>IFERROR(ROUND(SUMIF('Raw Data'!$R:$R,$A88,'Raw Data'!$K:$K)/SUMIF('Raw Data'!$R:$R,$A88,'Raw Data'!$F:$F),4),"NA")</f>
        <v>4.1399999999999999E-2</v>
      </c>
      <c r="E88" s="36">
        <f>IFERROR(ROUND(LN(SUMIF('Raw Data'!$R:$R,$A88,'Raw Data'!$F:$F)),4),"NA")</f>
        <v>10.9711</v>
      </c>
      <c r="F88" s="35">
        <f>IFERROR(ROUND(SUMIF('Raw Data'!$R:$R,$A88,'Raw Data'!$N:$N)/SUMIF('Raw Data'!$R:$R,$A88,'Raw Data'!$M:$M),4),"NA")</f>
        <v>0.55559999999999998</v>
      </c>
    </row>
    <row r="89" spans="1:6" ht="15" customHeight="1">
      <c r="A89" s="17" t="str">
        <f>'Raw Data'!R86</f>
        <v>Home First Finance Company India Ltd_2021</v>
      </c>
      <c r="B89" s="35">
        <f>IFERROR(ROUND(SUMIF('Raw Data'!$R:$R,$A89,'Raw Data'!$I:$I)/SUMIF('Raw Data'!$R:$R,$A89,'Raw Data'!$F:$F),4),"NA")</f>
        <v>5.9999999999999995E-4</v>
      </c>
      <c r="C89" s="35">
        <f>IFERROR(ROUND(SUMIF('Raw Data'!$R:$R,$A89,'Raw Data'!$G:$G)/SUMIF('Raw Data'!$R:$R,$A89,'Raw Data'!$F:$F),4),"NA")</f>
        <v>0.67720000000000002</v>
      </c>
      <c r="D89" s="35">
        <f>IFERROR(ROUND(SUMIF('Raw Data'!$R:$R,$A89,'Raw Data'!$K:$K)/SUMIF('Raw Data'!$R:$R,$A89,'Raw Data'!$F:$F),4),"NA")</f>
        <v>2.2200000000000001E-2</v>
      </c>
      <c r="E89" s="36">
        <f>IFERROR(ROUND(LN(SUMIF('Raw Data'!$R:$R,$A89,'Raw Data'!$F:$F)),4),"NA")</f>
        <v>8.4140999999999995</v>
      </c>
      <c r="F89" s="35">
        <f>IFERROR(ROUND(SUMIF('Raw Data'!$R:$R,$A89,'Raw Data'!$N:$N)/SUMIF('Raw Data'!$R:$R,$A89,'Raw Data'!$M:$M),4),"NA")</f>
        <v>0.33329999999999999</v>
      </c>
    </row>
    <row r="90" spans="1:6" ht="15" customHeight="1">
      <c r="A90" s="17" t="str">
        <f>'Raw Data'!R87</f>
        <v>Home First Finance Company India Ltd_2022</v>
      </c>
      <c r="B90" s="35">
        <f>IFERROR(ROUND(SUMIF('Raw Data'!$R:$R,$A90,'Raw Data'!$I:$I)/SUMIF('Raw Data'!$R:$R,$A90,'Raw Data'!$F:$F),4),"NA")</f>
        <v>6.9999999999999999E-4</v>
      </c>
      <c r="C90" s="35">
        <f>IFERROR(ROUND(SUMIF('Raw Data'!$R:$R,$A90,'Raw Data'!$G:$G)/SUMIF('Raw Data'!$R:$R,$A90,'Raw Data'!$F:$F),4),"NA")</f>
        <v>0.67749999999999999</v>
      </c>
      <c r="D90" s="35">
        <f>IFERROR(ROUND(SUMIF('Raw Data'!$R:$R,$A90,'Raw Data'!$K:$K)/SUMIF('Raw Data'!$R:$R,$A90,'Raw Data'!$F:$F),4),"NA")</f>
        <v>3.6299999999999999E-2</v>
      </c>
      <c r="E90" s="36">
        <f>IFERROR(ROUND(LN(SUMIF('Raw Data'!$R:$R,$A90,'Raw Data'!$F:$F)),4),"NA")</f>
        <v>8.5403000000000002</v>
      </c>
      <c r="F90" s="35">
        <f>IFERROR(ROUND(SUMIF('Raw Data'!$R:$R,$A90,'Raw Data'!$N:$N)/SUMIF('Raw Data'!$R:$R,$A90,'Raw Data'!$M:$M),4),"NA")</f>
        <v>0.44440000000000002</v>
      </c>
    </row>
    <row r="91" spans="1:6" ht="15" customHeight="1">
      <c r="A91" s="17" t="str">
        <f>'Raw Data'!R88</f>
        <v>Home First Finance Company India Ltd_2023</v>
      </c>
      <c r="B91" s="35">
        <f>IFERROR(ROUND(SUMIF('Raw Data'!$R:$R,$A91,'Raw Data'!$I:$I)/SUMIF('Raw Data'!$R:$R,$A91,'Raw Data'!$F:$F),4),"NA")</f>
        <v>1.1000000000000001E-3</v>
      </c>
      <c r="C91" s="35">
        <f>IFERROR(ROUND(SUMIF('Raw Data'!$R:$R,$A91,'Raw Data'!$G:$G)/SUMIF('Raw Data'!$R:$R,$A91,'Raw Data'!$F:$F),4),"NA")</f>
        <v>0.71440000000000003</v>
      </c>
      <c r="D91" s="35">
        <f>IFERROR(ROUND(SUMIF('Raw Data'!$R:$R,$A91,'Raw Data'!$K:$K)/SUMIF('Raw Data'!$R:$R,$A91,'Raw Data'!$F:$F),4),"NA")</f>
        <v>3.3799999999999997E-2</v>
      </c>
      <c r="E91" s="36">
        <f>IFERROR(ROUND(LN(SUMIF('Raw Data'!$R:$R,$A91,'Raw Data'!$F:$F)),4),"NA")</f>
        <v>8.8154000000000003</v>
      </c>
      <c r="F91" s="35">
        <f>IFERROR(ROUND(SUMIF('Raw Data'!$R:$R,$A91,'Raw Data'!$N:$N)/SUMIF('Raw Data'!$R:$R,$A91,'Raw Data'!$M:$M),4),"NA")</f>
        <v>0.5</v>
      </c>
    </row>
    <row r="92" spans="1:6" ht="15" customHeight="1">
      <c r="A92" s="17" t="str">
        <f>'Raw Data'!R89</f>
        <v>Home First Finance Company India Ltd_2024</v>
      </c>
      <c r="B92" s="35">
        <f>IFERROR(ROUND(SUMIF('Raw Data'!$R:$R,$A92,'Raw Data'!$I:$I)/SUMIF('Raw Data'!$R:$R,$A92,'Raw Data'!$F:$F),4),"NA")</f>
        <v>8.0000000000000004E-4</v>
      </c>
      <c r="C92" s="35">
        <f>IFERROR(ROUND(SUMIF('Raw Data'!$R:$R,$A92,'Raw Data'!$G:$G)/SUMIF('Raw Data'!$R:$R,$A92,'Raw Data'!$F:$F),4),"NA")</f>
        <v>0.76590000000000003</v>
      </c>
      <c r="D92" s="35">
        <f>IFERROR(ROUND(SUMIF('Raw Data'!$R:$R,$A92,'Raw Data'!$K:$K)/SUMIF('Raw Data'!$R:$R,$A92,'Raw Data'!$F:$F),4),"NA")</f>
        <v>3.2099999999999997E-2</v>
      </c>
      <c r="E92" s="36">
        <f>IFERROR(ROUND(LN(SUMIF('Raw Data'!$R:$R,$A92,'Raw Data'!$F:$F)),4),"NA")</f>
        <v>9.1625999999999994</v>
      </c>
      <c r="F92" s="35">
        <f>IFERROR(ROUND(SUMIF('Raw Data'!$R:$R,$A92,'Raw Data'!$N:$N)/SUMIF('Raw Data'!$R:$R,$A92,'Raw Data'!$M:$M),4),"NA")</f>
        <v>0.5</v>
      </c>
    </row>
    <row r="93" spans="1:6" ht="15" customHeight="1">
      <c r="A93" s="17" t="str">
        <f>'Raw Data'!R90</f>
        <v>Ugro Capital Ltd_2021</v>
      </c>
      <c r="B93" s="35">
        <f>IFERROR(ROUND(SUMIF('Raw Data'!$R:$R,$A93,'Raw Data'!$I:$I)/SUMIF('Raw Data'!$R:$R,$A93,'Raw Data'!$F:$F),4),"NA")</f>
        <v>6.8999999999999999E-3</v>
      </c>
      <c r="C93" s="35">
        <f>IFERROR(ROUND(SUMIF('Raw Data'!$R:$R,$A93,'Raw Data'!$G:$G)/SUMIF('Raw Data'!$R:$R,$A93,'Raw Data'!$F:$F),4),"NA")</f>
        <v>0.43730000000000002</v>
      </c>
      <c r="D93" s="35">
        <f>IFERROR(ROUND(SUMIF('Raw Data'!$R:$R,$A93,'Raw Data'!$K:$K)/SUMIF('Raw Data'!$R:$R,$A93,'Raw Data'!$F:$F),4),"NA")</f>
        <v>1.6400000000000001E-2</v>
      </c>
      <c r="E93" s="36">
        <f>IFERROR(ROUND(LN(SUMIF('Raw Data'!$R:$R,$A93,'Raw Data'!$F:$F)),4),"NA")</f>
        <v>7.4679000000000002</v>
      </c>
      <c r="F93" s="35">
        <f>IFERROR(ROUND(SUMIF('Raw Data'!$R:$R,$A93,'Raw Data'!$N:$N)/SUMIF('Raw Data'!$R:$R,$A93,'Raw Data'!$M:$M),4),"NA")</f>
        <v>0.53849999999999998</v>
      </c>
    </row>
    <row r="94" spans="1:6" ht="15" customHeight="1">
      <c r="A94" s="17" t="str">
        <f>'Raw Data'!R91</f>
        <v>Ugro Capital Ltd_2022</v>
      </c>
      <c r="B94" s="35">
        <f>IFERROR(ROUND(SUMIF('Raw Data'!$R:$R,$A94,'Raw Data'!$I:$I)/SUMIF('Raw Data'!$R:$R,$A94,'Raw Data'!$F:$F),4),"NA")</f>
        <v>5.0000000000000001E-3</v>
      </c>
      <c r="C94" s="35">
        <f>IFERROR(ROUND(SUMIF('Raw Data'!$R:$R,$A94,'Raw Data'!$G:$G)/SUMIF('Raw Data'!$R:$R,$A94,'Raw Data'!$F:$F),4),"NA")</f>
        <v>0.63129999999999997</v>
      </c>
      <c r="D94" s="35">
        <f>IFERROR(ROUND(SUMIF('Raw Data'!$R:$R,$A94,'Raw Data'!$K:$K)/SUMIF('Raw Data'!$R:$R,$A94,'Raw Data'!$F:$F),4),"NA")</f>
        <v>5.1000000000000004E-3</v>
      </c>
      <c r="E94" s="36">
        <f>IFERROR(ROUND(LN(SUMIF('Raw Data'!$R:$R,$A94,'Raw Data'!$F:$F)),4),"NA")</f>
        <v>7.9565999999999999</v>
      </c>
      <c r="F94" s="35">
        <f>IFERROR(ROUND(SUMIF('Raw Data'!$R:$R,$A94,'Raw Data'!$N:$N)/SUMIF('Raw Data'!$R:$R,$A94,'Raw Data'!$M:$M),4),"NA")</f>
        <v>0.63639999999999997</v>
      </c>
    </row>
    <row r="95" spans="1:6" ht="15" customHeight="1">
      <c r="A95" s="17" t="str">
        <f>'Raw Data'!R92</f>
        <v>Ugro Capital Ltd_2023</v>
      </c>
      <c r="B95" s="35">
        <f>IFERROR(ROUND(SUMIF('Raw Data'!$R:$R,$A95,'Raw Data'!$I:$I)/SUMIF('Raw Data'!$R:$R,$A95,'Raw Data'!$F:$F),4),"NA")</f>
        <v>9.4999999999999998E-3</v>
      </c>
      <c r="C95" s="35">
        <f>IFERROR(ROUND(SUMIF('Raw Data'!$R:$R,$A95,'Raw Data'!$G:$G)/SUMIF('Raw Data'!$R:$R,$A95,'Raw Data'!$F:$F),4),"NA")</f>
        <v>0.73140000000000005</v>
      </c>
      <c r="D95" s="35">
        <f>IFERROR(ROUND(SUMIF('Raw Data'!$R:$R,$A95,'Raw Data'!$K:$K)/SUMIF('Raw Data'!$R:$R,$A95,'Raw Data'!$F:$F),4),"NA")</f>
        <v>9.1999999999999998E-3</v>
      </c>
      <c r="E95" s="36">
        <f>IFERROR(ROUND(LN(SUMIF('Raw Data'!$R:$R,$A95,'Raw Data'!$F:$F)),4),"NA")</f>
        <v>8.3676999999999992</v>
      </c>
      <c r="F95" s="35">
        <f>IFERROR(ROUND(SUMIF('Raw Data'!$R:$R,$A95,'Raw Data'!$N:$N)/SUMIF('Raw Data'!$R:$R,$A95,'Raw Data'!$M:$M),4),"NA")</f>
        <v>0.53849999999999998</v>
      </c>
    </row>
    <row r="96" spans="1:6" ht="15" customHeight="1">
      <c r="A96" s="17" t="str">
        <f>'Raw Data'!R93</f>
        <v>Ugro Capital Ltd_2024</v>
      </c>
      <c r="B96" s="35">
        <f>IFERROR(ROUND(SUMIF('Raw Data'!$R:$R,$A96,'Raw Data'!$I:$I)/SUMIF('Raw Data'!$R:$R,$A96,'Raw Data'!$F:$F),4),"NA")</f>
        <v>6.4000000000000003E-3</v>
      </c>
      <c r="C96" s="35">
        <f>IFERROR(ROUND(SUMIF('Raw Data'!$R:$R,$A96,'Raw Data'!$G:$G)/SUMIF('Raw Data'!$R:$R,$A96,'Raw Data'!$F:$F),4),"NA")</f>
        <v>0.73540000000000005</v>
      </c>
      <c r="D96" s="35">
        <f>IFERROR(ROUND(SUMIF('Raw Data'!$R:$R,$A96,'Raw Data'!$K:$K)/SUMIF('Raw Data'!$R:$R,$A96,'Raw Data'!$F:$F),4),"NA")</f>
        <v>1.9E-2</v>
      </c>
      <c r="E96" s="36">
        <f>IFERROR(ROUND(LN(SUMIF('Raw Data'!$R:$R,$A96,'Raw Data'!$F:$F)),4),"NA")</f>
        <v>8.7451000000000008</v>
      </c>
      <c r="F96" s="35">
        <f>IFERROR(ROUND(SUMIF('Raw Data'!$R:$R,$A96,'Raw Data'!$N:$N)/SUMIF('Raw Data'!$R:$R,$A96,'Raw Data'!$M:$M),4),"NA")</f>
        <v>0.6</v>
      </c>
    </row>
    <row r="97" spans="1:6" ht="15" customHeight="1">
      <c r="A97" s="17" t="str">
        <f>'Raw Data'!R94</f>
        <v>CreditAccess Grameen Ltd_2021</v>
      </c>
      <c r="B97" s="35">
        <f>IFERROR(ROUND(SUMIF('Raw Data'!$R:$R,$A97,'Raw Data'!$I:$I)/SUMIF('Raw Data'!$R:$R,$A97,'Raw Data'!$F:$F),4),"NA")</f>
        <v>1E-3</v>
      </c>
      <c r="C97" s="35">
        <f>IFERROR(ROUND(SUMIF('Raw Data'!$R:$R,$A97,'Raw Data'!$G:$G)/SUMIF('Raw Data'!$R:$R,$A97,'Raw Data'!$F:$F),4),"NA")</f>
        <v>0.71970000000000001</v>
      </c>
      <c r="D97" s="35">
        <f>IFERROR(ROUND(SUMIF('Raw Data'!$R:$R,$A97,'Raw Data'!$K:$K)/SUMIF('Raw Data'!$R:$R,$A97,'Raw Data'!$F:$F),4),"NA")</f>
        <v>8.6999999999999994E-3</v>
      </c>
      <c r="E97" s="36">
        <f>IFERROR(ROUND(LN(SUMIF('Raw Data'!$R:$R,$A97,'Raw Data'!$F:$F)),4),"NA")</f>
        <v>9.6196999999999999</v>
      </c>
      <c r="F97" s="35">
        <f>IFERROR(ROUND(SUMIF('Raw Data'!$R:$R,$A97,'Raw Data'!$N:$N)/SUMIF('Raw Data'!$R:$R,$A97,'Raw Data'!$M:$M),4),"NA")</f>
        <v>0.5</v>
      </c>
    </row>
    <row r="98" spans="1:6" ht="15" customHeight="1">
      <c r="A98" s="17" t="str">
        <f>'Raw Data'!R95</f>
        <v>CreditAccess Grameen Ltd_2022</v>
      </c>
      <c r="B98" s="35">
        <f>IFERROR(ROUND(SUMIF('Raw Data'!$R:$R,$A98,'Raw Data'!$I:$I)/SUMIF('Raw Data'!$R:$R,$A98,'Raw Data'!$F:$F),4),"NA")</f>
        <v>1.6000000000000001E-3</v>
      </c>
      <c r="C98" s="35">
        <f>IFERROR(ROUND(SUMIF('Raw Data'!$R:$R,$A98,'Raw Data'!$G:$G)/SUMIF('Raw Data'!$R:$R,$A98,'Raw Data'!$F:$F),4),"NA")</f>
        <v>0.73829999999999996</v>
      </c>
      <c r="D98" s="35">
        <f>IFERROR(ROUND(SUMIF('Raw Data'!$R:$R,$A98,'Raw Data'!$K:$K)/SUMIF('Raw Data'!$R:$R,$A98,'Raw Data'!$F:$F),4),"NA")</f>
        <v>2.0500000000000001E-2</v>
      </c>
      <c r="E98" s="36">
        <f>IFERROR(ROUND(LN(SUMIF('Raw Data'!$R:$R,$A98,'Raw Data'!$F:$F)),4),"NA")</f>
        <v>9.7638999999999996</v>
      </c>
      <c r="F98" s="35">
        <f>IFERROR(ROUND(SUMIF('Raw Data'!$R:$R,$A98,'Raw Data'!$N:$N)/SUMIF('Raw Data'!$R:$R,$A98,'Raw Data'!$M:$M),4),"NA")</f>
        <v>0.57140000000000002</v>
      </c>
    </row>
    <row r="99" spans="1:6" ht="15" customHeight="1">
      <c r="A99" s="17" t="str">
        <f>'Raw Data'!R96</f>
        <v>CreditAccess Grameen Ltd_2023</v>
      </c>
      <c r="B99" s="35">
        <f>IFERROR(ROUND(SUMIF('Raw Data'!$R:$R,$A99,'Raw Data'!$I:$I)/SUMIF('Raw Data'!$R:$R,$A99,'Raw Data'!$F:$F),4),"NA")</f>
        <v>8.0000000000000004E-4</v>
      </c>
      <c r="C99" s="35">
        <f>IFERROR(ROUND(SUMIF('Raw Data'!$R:$R,$A99,'Raw Data'!$G:$G)/SUMIF('Raw Data'!$R:$R,$A99,'Raw Data'!$F:$F),4),"NA")</f>
        <v>0.74270000000000003</v>
      </c>
      <c r="D99" s="35">
        <f>IFERROR(ROUND(SUMIF('Raw Data'!$R:$R,$A99,'Raw Data'!$K:$K)/SUMIF('Raw Data'!$R:$R,$A99,'Raw Data'!$F:$F),4),"NA")</f>
        <v>3.78E-2</v>
      </c>
      <c r="E99" s="36">
        <f>IFERROR(ROUND(LN(SUMIF('Raw Data'!$R:$R,$A99,'Raw Data'!$F:$F)),4),"NA")</f>
        <v>9.9923000000000002</v>
      </c>
      <c r="F99" s="35">
        <f>IFERROR(ROUND(SUMIF('Raw Data'!$R:$R,$A99,'Raw Data'!$N:$N)/SUMIF('Raw Data'!$R:$R,$A99,'Raw Data'!$M:$M),4),"NA")</f>
        <v>0.5</v>
      </c>
    </row>
    <row r="100" spans="1:6" ht="15" customHeight="1">
      <c r="A100" s="17" t="str">
        <f>'Raw Data'!R97</f>
        <v>CreditAccess Grameen Ltd_2024</v>
      </c>
      <c r="B100" s="35">
        <f>IFERROR(ROUND(SUMIF('Raw Data'!$R:$R,$A100,'Raw Data'!$I:$I)/SUMIF('Raw Data'!$R:$R,$A100,'Raw Data'!$F:$F),4),"NA")</f>
        <v>6.9999999999999999E-4</v>
      </c>
      <c r="C100" s="35">
        <f>IFERROR(ROUND(SUMIF('Raw Data'!$R:$R,$A100,'Raw Data'!$G:$G)/SUMIF('Raw Data'!$R:$R,$A100,'Raw Data'!$F:$F),4),"NA")</f>
        <v>0.75629999999999997</v>
      </c>
      <c r="D100" s="35">
        <f>IFERROR(ROUND(SUMIF('Raw Data'!$R:$R,$A100,'Raw Data'!$K:$K)/SUMIF('Raw Data'!$R:$R,$A100,'Raw Data'!$F:$F),4),"NA")</f>
        <v>5.0099999999999999E-2</v>
      </c>
      <c r="E100" s="36">
        <f>IFERROR(ROUND(LN(SUMIF('Raw Data'!$R:$R,$A100,'Raw Data'!$F:$F)),4),"NA")</f>
        <v>10.2697</v>
      </c>
      <c r="F100" s="35">
        <f>IFERROR(ROUND(SUMIF('Raw Data'!$R:$R,$A100,'Raw Data'!$N:$N)/SUMIF('Raw Data'!$R:$R,$A100,'Raw Data'!$M:$M),4),"NA")</f>
        <v>0.5</v>
      </c>
    </row>
    <row r="101" spans="1:6" ht="15" customHeight="1">
      <c r="A101" s="17" t="str">
        <f>'Raw Data'!R98</f>
        <v>MAS Financial Services Ltd_2021</v>
      </c>
      <c r="B101" s="35">
        <f>IFERROR(ROUND(SUMIF('Raw Data'!$R:$R,$A101,'Raw Data'!$I:$I)/SUMIF('Raw Data'!$R:$R,$A101,'Raw Data'!$F:$F),4),"NA")</f>
        <v>4.0000000000000002E-4</v>
      </c>
      <c r="C101" s="35">
        <f>IFERROR(ROUND(SUMIF('Raw Data'!$R:$R,$A101,'Raw Data'!$G:$G)/SUMIF('Raw Data'!$R:$R,$A101,'Raw Data'!$F:$F),4),"NA")</f>
        <v>0.64700000000000002</v>
      </c>
      <c r="D101" s="35">
        <f>IFERROR(ROUND(SUMIF('Raw Data'!$R:$R,$A101,'Raw Data'!$K:$K)/SUMIF('Raw Data'!$R:$R,$A101,'Raw Data'!$F:$F),4),"NA")</f>
        <v>2.6800000000000001E-2</v>
      </c>
      <c r="E101" s="36">
        <f>IFERROR(ROUND(LN(SUMIF('Raw Data'!$R:$R,$A101,'Raw Data'!$F:$F)),4),"NA")</f>
        <v>8.5996000000000006</v>
      </c>
      <c r="F101" s="35">
        <f>IFERROR(ROUND(SUMIF('Raw Data'!$R:$R,$A101,'Raw Data'!$N:$N)/SUMIF('Raw Data'!$R:$R,$A101,'Raw Data'!$M:$M),4),"NA")</f>
        <v>0.66669999999999996</v>
      </c>
    </row>
    <row r="102" spans="1:6" ht="15" customHeight="1">
      <c r="A102" s="17" t="str">
        <f>'Raw Data'!R99</f>
        <v>MAS Financial Services Ltd_2022</v>
      </c>
      <c r="B102" s="35">
        <f>IFERROR(ROUND(SUMIF('Raw Data'!$R:$R,$A102,'Raw Data'!$I:$I)/SUMIF('Raw Data'!$R:$R,$A102,'Raw Data'!$F:$F),4),"NA")</f>
        <v>5.9999999999999995E-4</v>
      </c>
      <c r="C102" s="35">
        <f>IFERROR(ROUND(SUMIF('Raw Data'!$R:$R,$A102,'Raw Data'!$G:$G)/SUMIF('Raw Data'!$R:$R,$A102,'Raw Data'!$F:$F),4),"NA")</f>
        <v>0.67979999999999996</v>
      </c>
      <c r="D102" s="35">
        <f>IFERROR(ROUND(SUMIF('Raw Data'!$R:$R,$A102,'Raw Data'!$K:$K)/SUMIF('Raw Data'!$R:$R,$A102,'Raw Data'!$F:$F),4),"NA")</f>
        <v>2.4299999999999999E-2</v>
      </c>
      <c r="E102" s="36">
        <f>IFERROR(ROUND(LN(SUMIF('Raw Data'!$R:$R,$A102,'Raw Data'!$F:$F)),4),"NA")</f>
        <v>8.7711000000000006</v>
      </c>
      <c r="F102" s="35">
        <f>IFERROR(ROUND(SUMIF('Raw Data'!$R:$R,$A102,'Raw Data'!$N:$N)/SUMIF('Raw Data'!$R:$R,$A102,'Raw Data'!$M:$M),4),"NA")</f>
        <v>0.66669999999999996</v>
      </c>
    </row>
    <row r="103" spans="1:6" ht="15" customHeight="1">
      <c r="A103" s="17" t="str">
        <f>'Raw Data'!R100</f>
        <v>MAS Financial Services Ltd_2023</v>
      </c>
      <c r="B103" s="35">
        <f>IFERROR(ROUND(SUMIF('Raw Data'!$R:$R,$A103,'Raw Data'!$I:$I)/SUMIF('Raw Data'!$R:$R,$A103,'Raw Data'!$F:$F),4),"NA")</f>
        <v>6.9999999999999999E-4</v>
      </c>
      <c r="C103" s="35">
        <f>IFERROR(ROUND(SUMIF('Raw Data'!$R:$R,$A103,'Raw Data'!$G:$G)/SUMIF('Raw Data'!$R:$R,$A103,'Raw Data'!$F:$F),4),"NA")</f>
        <v>0.70950000000000002</v>
      </c>
      <c r="D103" s="35">
        <f>IFERROR(ROUND(SUMIF('Raw Data'!$R:$R,$A103,'Raw Data'!$K:$K)/SUMIF('Raw Data'!$R:$R,$A103,'Raw Data'!$F:$F),4),"NA")</f>
        <v>2.52E-2</v>
      </c>
      <c r="E103" s="36">
        <f>IFERROR(ROUND(LN(SUMIF('Raw Data'!$R:$R,$A103,'Raw Data'!$F:$F)),4),"NA")</f>
        <v>9.0069999999999997</v>
      </c>
      <c r="F103" s="35">
        <f>IFERROR(ROUND(SUMIF('Raw Data'!$R:$R,$A103,'Raw Data'!$N:$N)/SUMIF('Raw Data'!$R:$R,$A103,'Raw Data'!$M:$M),4),"NA")</f>
        <v>0.66669999999999996</v>
      </c>
    </row>
    <row r="104" spans="1:6" ht="15" customHeight="1">
      <c r="A104" s="17" t="str">
        <f>'Raw Data'!R101</f>
        <v>MAS Financial Services Ltd_2024</v>
      </c>
      <c r="B104" s="35">
        <f>IFERROR(ROUND(SUMIF('Raw Data'!$R:$R,$A104,'Raw Data'!$I:$I)/SUMIF('Raw Data'!$R:$R,$A104,'Raw Data'!$F:$F),4),"NA")</f>
        <v>6.9999999999999999E-4</v>
      </c>
      <c r="C104" s="35">
        <f>IFERROR(ROUND(SUMIF('Raw Data'!$R:$R,$A104,'Raw Data'!$G:$G)/SUMIF('Raw Data'!$R:$R,$A104,'Raw Data'!$F:$F),4),"NA")</f>
        <v>0.72719999999999996</v>
      </c>
      <c r="D104" s="35">
        <f>IFERROR(ROUND(SUMIF('Raw Data'!$R:$R,$A104,'Raw Data'!$K:$K)/SUMIF('Raw Data'!$R:$R,$A104,'Raw Data'!$F:$F),4),"NA")</f>
        <v>2.4E-2</v>
      </c>
      <c r="E104" s="36">
        <f>IFERROR(ROUND(LN(SUMIF('Raw Data'!$R:$R,$A104,'Raw Data'!$F:$F)),4),"NA")</f>
        <v>9.2667000000000002</v>
      </c>
      <c r="F104" s="35">
        <f>IFERROR(ROUND(SUMIF('Raw Data'!$R:$R,$A104,'Raw Data'!$N:$N)/SUMIF('Raw Data'!$R:$R,$A104,'Raw Data'!$M:$M),4),"NA")</f>
        <v>0.66669999999999996</v>
      </c>
    </row>
    <row r="107" spans="1:6" ht="15" customHeight="1">
      <c r="A107" s="55" t="s">
        <v>212</v>
      </c>
      <c r="B107" s="55"/>
      <c r="C107" s="55"/>
      <c r="D107" s="55"/>
      <c r="E107" s="55"/>
      <c r="F107" s="55"/>
    </row>
    <row r="108" spans="1:6" ht="15" customHeight="1">
      <c r="A108" s="1" t="s">
        <v>213</v>
      </c>
      <c r="B108" s="1" t="s">
        <v>214</v>
      </c>
      <c r="C108" s="56" t="s">
        <v>215</v>
      </c>
      <c r="D108" s="56"/>
    </row>
    <row r="109" spans="1:6" ht="31.5" customHeight="1">
      <c r="A109" s="37" t="s">
        <v>206</v>
      </c>
      <c r="B109" s="37" t="s">
        <v>216</v>
      </c>
      <c r="C109" s="53" t="s">
        <v>217</v>
      </c>
      <c r="D109" s="53"/>
      <c r="E109" s="53" t="s">
        <v>218</v>
      </c>
      <c r="F109" s="53"/>
    </row>
    <row r="110" spans="1:6" ht="31.5" customHeight="1">
      <c r="A110" s="37" t="s">
        <v>207</v>
      </c>
      <c r="B110" s="37" t="s">
        <v>219</v>
      </c>
      <c r="C110" s="53" t="s">
        <v>220</v>
      </c>
      <c r="D110" s="53"/>
      <c r="E110" s="53" t="s">
        <v>221</v>
      </c>
      <c r="F110" s="53"/>
    </row>
    <row r="111" spans="1:6" ht="31.5" customHeight="1">
      <c r="A111" s="37" t="s">
        <v>208</v>
      </c>
      <c r="B111" s="37" t="s">
        <v>222</v>
      </c>
      <c r="C111" s="53" t="s">
        <v>223</v>
      </c>
      <c r="D111" s="53"/>
      <c r="E111" s="53" t="s">
        <v>224</v>
      </c>
      <c r="F111" s="53"/>
    </row>
    <row r="112" spans="1:6" ht="31.5" customHeight="1">
      <c r="A112" s="37" t="s">
        <v>209</v>
      </c>
      <c r="B112" s="37" t="s">
        <v>225</v>
      </c>
      <c r="C112" s="53" t="s">
        <v>226</v>
      </c>
      <c r="D112" s="53"/>
      <c r="E112" s="53" t="s">
        <v>227</v>
      </c>
      <c r="F112" s="53"/>
    </row>
    <row r="113" spans="1:6" ht="31.5" customHeight="1">
      <c r="A113" s="37" t="s">
        <v>210</v>
      </c>
      <c r="B113" s="37" t="s">
        <v>228</v>
      </c>
      <c r="C113" s="53" t="s">
        <v>229</v>
      </c>
      <c r="D113" s="53"/>
      <c r="E113" s="53" t="s">
        <v>230</v>
      </c>
      <c r="F113" s="53"/>
    </row>
    <row r="114" spans="1:6" ht="31.5" customHeight="1">
      <c r="A114" s="37" t="s">
        <v>211</v>
      </c>
      <c r="B114" s="37" t="s">
        <v>231</v>
      </c>
      <c r="C114" s="53" t="s">
        <v>232</v>
      </c>
      <c r="D114" s="53"/>
      <c r="E114" s="53" t="s">
        <v>233</v>
      </c>
      <c r="F114" s="53"/>
    </row>
    <row r="116" spans="1:6" ht="30" customHeight="1">
      <c r="A116" s="54" t="s">
        <v>234</v>
      </c>
      <c r="B116" s="54"/>
      <c r="C116" s="54"/>
      <c r="D116" s="54"/>
      <c r="E116" s="54"/>
      <c r="F116" s="54"/>
    </row>
  </sheetData>
  <mergeCells count="17">
    <mergeCell ref="A1:F1"/>
    <mergeCell ref="A2:F2"/>
    <mergeCell ref="A107:F107"/>
    <mergeCell ref="C108:D108"/>
    <mergeCell ref="C109:D109"/>
    <mergeCell ref="E109:F109"/>
    <mergeCell ref="C110:D110"/>
    <mergeCell ref="E110:F110"/>
    <mergeCell ref="C111:D111"/>
    <mergeCell ref="E111:F111"/>
    <mergeCell ref="C112:D112"/>
    <mergeCell ref="E112:F112"/>
    <mergeCell ref="C113:D113"/>
    <mergeCell ref="E113:F113"/>
    <mergeCell ref="C114:D114"/>
    <mergeCell ref="E114:F114"/>
    <mergeCell ref="A116:F11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9"/>
  <sheetViews>
    <sheetView showGridLines="0" topLeftCell="A5" zoomScaleNormal="100" workbookViewId="0">
      <selection sqref="A1:G1"/>
    </sheetView>
  </sheetViews>
  <sheetFormatPr defaultColWidth="8.6640625" defaultRowHeight="14.4"/>
  <cols>
    <col min="1" max="1" width="22" customWidth="1"/>
    <col min="2" max="6" width="12" customWidth="1"/>
    <col min="7" max="7" width="20" customWidth="1"/>
  </cols>
  <sheetData>
    <row r="1" spans="1:7" ht="15" customHeight="1">
      <c r="A1" s="61" t="s">
        <v>235</v>
      </c>
      <c r="B1" s="61"/>
      <c r="C1" s="61"/>
      <c r="D1" s="61"/>
      <c r="E1" s="61"/>
      <c r="F1" s="61"/>
      <c r="G1" s="61"/>
    </row>
    <row r="2" spans="1:7" ht="15" customHeight="1">
      <c r="A2" s="62" t="s">
        <v>236</v>
      </c>
      <c r="B2" s="62"/>
      <c r="C2" s="62"/>
      <c r="D2" s="62"/>
      <c r="E2" s="62"/>
      <c r="F2" s="62"/>
      <c r="G2" s="62"/>
    </row>
    <row r="4" spans="1:7" ht="15" customHeight="1">
      <c r="A4" s="60" t="s">
        <v>237</v>
      </c>
      <c r="B4" s="60"/>
      <c r="C4" s="60"/>
      <c r="D4" s="60"/>
      <c r="E4" s="60"/>
      <c r="F4" s="60"/>
      <c r="G4" s="60"/>
    </row>
    <row r="5" spans="1:7" ht="15" customHeight="1">
      <c r="A5" s="38" t="s">
        <v>213</v>
      </c>
      <c r="B5" s="38" t="s">
        <v>238</v>
      </c>
      <c r="C5" s="38" t="s">
        <v>239</v>
      </c>
      <c r="D5" s="38" t="s">
        <v>240</v>
      </c>
      <c r="E5" s="38" t="s">
        <v>241</v>
      </c>
      <c r="F5" s="38" t="s">
        <v>242</v>
      </c>
      <c r="G5" s="38" t="s">
        <v>243</v>
      </c>
    </row>
    <row r="6" spans="1:7" ht="15" customHeight="1">
      <c r="A6" s="39" t="s">
        <v>207</v>
      </c>
      <c r="B6" s="40">
        <f>COUNT('Calculated Variables'!$B$5:$B$104)</f>
        <v>100</v>
      </c>
      <c r="C6" s="41">
        <f>AVERAGE('Calculated Variables'!$B$5:$B$104)</f>
        <v>1.6645999999999994E-2</v>
      </c>
      <c r="D6" s="41">
        <f>MEDIAN('Calculated Variables'!$B$5:$B$104)</f>
        <v>8.199999999999999E-3</v>
      </c>
      <c r="E6" s="41">
        <f>MIN('Calculated Variables'!$B$5:$B$104)</f>
        <v>4.0000000000000002E-4</v>
      </c>
      <c r="F6" s="41">
        <f>MAX('Calculated Variables'!$B$5:$B$104)</f>
        <v>0.1411</v>
      </c>
      <c r="G6" s="41">
        <f>_xlfn.STDEV.S('Calculated Variables'!$B$5:$B$104)</f>
        <v>2.0660866341462993E-2</v>
      </c>
    </row>
    <row r="7" spans="1:7" ht="15" customHeight="1">
      <c r="A7" s="39" t="s">
        <v>208</v>
      </c>
      <c r="B7" s="40">
        <f>COUNT('Calculated Variables'!$C$5:$C$104)</f>
        <v>100</v>
      </c>
      <c r="C7" s="41">
        <f>AVERAGE('Calculated Variables'!$C$5:$C$104)</f>
        <v>0.21314499999999995</v>
      </c>
      <c r="D7" s="41">
        <f>MEDIAN('Calculated Variables'!$C$5:$C$104)</f>
        <v>7.0899999999999991E-2</v>
      </c>
      <c r="E7" s="41">
        <f>MIN('Calculated Variables'!$C$5:$C$104)</f>
        <v>0</v>
      </c>
      <c r="F7" s="41">
        <f>MAX('Calculated Variables'!$C$5:$C$104)</f>
        <v>0.76590000000000003</v>
      </c>
      <c r="G7" s="41">
        <f>_xlfn.STDEV.S('Calculated Variables'!$C$5:$C$104)</f>
        <v>0.27622211102880978</v>
      </c>
    </row>
    <row r="8" spans="1:7" ht="15" customHeight="1">
      <c r="A8" s="39" t="s">
        <v>209</v>
      </c>
      <c r="B8" s="40">
        <f>COUNT('Calculated Variables'!$D$5:$D$104)</f>
        <v>100</v>
      </c>
      <c r="C8" s="41">
        <f>AVERAGE('Calculated Variables'!$D$5:$D$104)</f>
        <v>8.0278999999999989E-2</v>
      </c>
      <c r="D8" s="41">
        <f>MEDIAN('Calculated Variables'!$D$5:$D$104)</f>
        <v>5.305E-2</v>
      </c>
      <c r="E8" s="41">
        <f>MIN('Calculated Variables'!$D$5:$D$104)</f>
        <v>-0.18590000000000001</v>
      </c>
      <c r="F8" s="41">
        <f>MAX('Calculated Variables'!$D$5:$D$104)</f>
        <v>0.45250000000000001</v>
      </c>
      <c r="G8" s="41">
        <f>_xlfn.STDEV.S('Calculated Variables'!$D$5:$D$104)</f>
        <v>0.10743455352873768</v>
      </c>
    </row>
    <row r="9" spans="1:7" ht="15" customHeight="1">
      <c r="A9" s="39" t="s">
        <v>210</v>
      </c>
      <c r="B9" s="40">
        <f>COUNT('Calculated Variables'!$E$5:$E$104)</f>
        <v>100</v>
      </c>
      <c r="C9" s="42">
        <f>AVERAGE('Calculated Variables'!$E$5:$E$104)</f>
        <v>8.1477709999999952</v>
      </c>
      <c r="D9" s="42">
        <f>MEDIAN('Calculated Variables'!$E$5:$E$104)</f>
        <v>8.1738</v>
      </c>
      <c r="E9" s="42">
        <f>MIN('Calculated Variables'!$E$5:$E$104)</f>
        <v>4.0872000000000002</v>
      </c>
      <c r="F9" s="42">
        <f>MAX('Calculated Variables'!$E$5:$E$104)</f>
        <v>10.9711</v>
      </c>
      <c r="G9" s="42">
        <f>_xlfn.STDEV.S('Calculated Variables'!$E$5:$E$104)</f>
        <v>1.2745884881800571</v>
      </c>
    </row>
    <row r="10" spans="1:7" ht="15" customHeight="1">
      <c r="A10" s="39" t="s">
        <v>211</v>
      </c>
      <c r="B10" s="40">
        <f>COUNT('Calculated Variables'!$F$5:$F$104)</f>
        <v>97</v>
      </c>
      <c r="C10" s="41">
        <f>AVERAGE('Calculated Variables'!$F$5:$F$104)</f>
        <v>0.52957835051546376</v>
      </c>
      <c r="D10" s="41">
        <f>MEDIAN('Calculated Variables'!$F$5:$F$104)</f>
        <v>0.55559999999999998</v>
      </c>
      <c r="E10" s="41">
        <f>MIN('Calculated Variables'!$F$5:$F$104)</f>
        <v>0</v>
      </c>
      <c r="F10" s="41">
        <f>MAX('Calculated Variables'!$F$5:$F$104)</f>
        <v>0.77780000000000005</v>
      </c>
      <c r="G10" s="41">
        <f>_xlfn.STDEV.S('Calculated Variables'!$F$5:$F$104)</f>
        <v>0.13599490510279325</v>
      </c>
    </row>
    <row r="13" spans="1:7" ht="15" customHeight="1">
      <c r="A13" s="60" t="s">
        <v>244</v>
      </c>
      <c r="B13" s="60"/>
      <c r="C13" s="60"/>
      <c r="D13" s="60"/>
      <c r="E13" s="60"/>
      <c r="F13" s="60"/>
      <c r="G13" s="60"/>
    </row>
    <row r="14" spans="1:7" ht="15" customHeight="1">
      <c r="A14" s="38" t="s">
        <v>213</v>
      </c>
      <c r="B14" s="38" t="s">
        <v>238</v>
      </c>
      <c r="C14" s="38" t="s">
        <v>239</v>
      </c>
      <c r="D14" s="38" t="s">
        <v>240</v>
      </c>
      <c r="E14" s="38" t="s">
        <v>241</v>
      </c>
      <c r="F14" s="38" t="s">
        <v>242</v>
      </c>
      <c r="G14" s="38" t="s">
        <v>243</v>
      </c>
    </row>
    <row r="15" spans="1:7" ht="15" customHeight="1">
      <c r="A15" s="39" t="s">
        <v>207</v>
      </c>
      <c r="B15" s="40">
        <f>COUNT($B$30:$B$129)</f>
        <v>25</v>
      </c>
      <c r="C15" s="41">
        <f>AVERAGE($B$30:$B$129)</f>
        <v>1.5684E-2</v>
      </c>
      <c r="D15" s="41">
        <f>MEDIAN($B$30:$B$129)</f>
        <v>7.7000000000000002E-3</v>
      </c>
      <c r="E15" s="41">
        <f>MIN($B$30:$B$129)</f>
        <v>4.0000000000000002E-4</v>
      </c>
      <c r="F15" s="41">
        <f>MAX($B$30:$B$129)</f>
        <v>6.83E-2</v>
      </c>
      <c r="G15" s="41">
        <f>_xlfn.STDEV.S($B$30:$B$129)</f>
        <v>1.762031687191427E-2</v>
      </c>
    </row>
    <row r="16" spans="1:7" ht="15" customHeight="1">
      <c r="A16" s="39" t="s">
        <v>208</v>
      </c>
      <c r="B16" s="40">
        <f>COUNT($C$30:$C$129)</f>
        <v>25</v>
      </c>
      <c r="C16" s="41">
        <f>AVERAGE($C$30:$C$129)</f>
        <v>0.21545999999999998</v>
      </c>
      <c r="D16" s="41">
        <f>MEDIAN($C$30:$C$129)</f>
        <v>8.2299999999999998E-2</v>
      </c>
      <c r="E16" s="41">
        <f>MIN($C$30:$C$129)</f>
        <v>0</v>
      </c>
      <c r="F16" s="41">
        <f>MAX($C$30:$C$129)</f>
        <v>0.71970000000000001</v>
      </c>
      <c r="G16" s="41">
        <f>_xlfn.STDEV.S($C$30:$C$129)</f>
        <v>0.26084941377481891</v>
      </c>
    </row>
    <row r="17" spans="1:7" ht="15" customHeight="1">
      <c r="A17" s="39" t="s">
        <v>209</v>
      </c>
      <c r="B17" s="40">
        <f>COUNT($D$30:$D$129)</f>
        <v>25</v>
      </c>
      <c r="C17" s="41">
        <f>AVERAGE($D$30:$D$129)</f>
        <v>6.7491999999999996E-2</v>
      </c>
      <c r="D17" s="41">
        <f>MEDIAN($D$30:$D$129)</f>
        <v>3.6400000000000002E-2</v>
      </c>
      <c r="E17" s="41">
        <f>MIN($D$30:$D$129)</f>
        <v>-0.18590000000000001</v>
      </c>
      <c r="F17" s="41">
        <f>MAX($D$30:$D$129)</f>
        <v>0.4108</v>
      </c>
      <c r="G17" s="41">
        <f>_xlfn.STDEV.S($D$30:$D$129)</f>
        <v>0.11674565273847816</v>
      </c>
    </row>
    <row r="18" spans="1:7" ht="15" customHeight="1">
      <c r="A18" s="39" t="s">
        <v>210</v>
      </c>
      <c r="B18" s="40">
        <f>COUNT($E$30:$E$129)</f>
        <v>25</v>
      </c>
      <c r="C18" s="42">
        <f>AVERAGE($E$30:$E$129)</f>
        <v>7.7517720000000017</v>
      </c>
      <c r="D18" s="42">
        <f>MEDIAN($E$30:$E$129)</f>
        <v>7.8608000000000002</v>
      </c>
      <c r="E18" s="42">
        <f>MIN($E$30:$E$129)</f>
        <v>4.0872000000000002</v>
      </c>
      <c r="F18" s="42">
        <f>MAX($E$30:$E$129)</f>
        <v>10.2041</v>
      </c>
      <c r="G18" s="42">
        <f>_xlfn.STDEV.S($E$30:$E$129)</f>
        <v>1.3365225835228605</v>
      </c>
    </row>
    <row r="19" spans="1:7" ht="15" customHeight="1">
      <c r="A19" s="39" t="s">
        <v>211</v>
      </c>
      <c r="B19" s="40">
        <f>COUNT($F$30:$F$129)</f>
        <v>22</v>
      </c>
      <c r="C19" s="41">
        <f>AVERAGE($F$30:$F$129)</f>
        <v>0.4959409090909091</v>
      </c>
      <c r="D19" s="41">
        <f>MEDIAN($F$30:$F$129)</f>
        <v>0.5</v>
      </c>
      <c r="E19" s="41">
        <f>MIN($F$30:$F$129)</f>
        <v>0</v>
      </c>
      <c r="F19" s="41">
        <f>MAX($F$30:$F$129)</f>
        <v>0.75</v>
      </c>
      <c r="G19" s="41">
        <f>_xlfn.STDEV.S($F$30:$F$129)</f>
        <v>0.15152244108222093</v>
      </c>
    </row>
    <row r="22" spans="1:7" ht="15" customHeight="1">
      <c r="A22" s="63" t="s">
        <v>245</v>
      </c>
      <c r="B22" s="63"/>
      <c r="C22" s="63"/>
      <c r="D22" s="63"/>
      <c r="E22" s="63"/>
      <c r="F22" s="63"/>
      <c r="G22" s="63"/>
    </row>
    <row r="23" spans="1:7" ht="15" customHeight="1">
      <c r="A23" s="63"/>
      <c r="B23" s="63"/>
      <c r="C23" s="63"/>
      <c r="D23" s="63"/>
      <c r="E23" s="63"/>
      <c r="F23" s="63"/>
      <c r="G23" s="63"/>
    </row>
    <row r="24" spans="1:7" ht="15" customHeight="1">
      <c r="A24" s="63"/>
      <c r="B24" s="63"/>
      <c r="C24" s="63"/>
      <c r="D24" s="63"/>
      <c r="E24" s="63"/>
      <c r="F24" s="63"/>
      <c r="G24" s="63"/>
    </row>
    <row r="25" spans="1:7" ht="15" customHeight="1">
      <c r="A25" s="63"/>
      <c r="B25" s="63"/>
      <c r="C25" s="63"/>
      <c r="D25" s="63"/>
      <c r="E25" s="63"/>
      <c r="F25" s="63"/>
      <c r="G25" s="63"/>
    </row>
    <row r="28" spans="1:7" ht="15" customHeight="1">
      <c r="A28" s="60" t="s">
        <v>246</v>
      </c>
      <c r="B28" s="60"/>
      <c r="C28" s="60"/>
      <c r="D28" s="60"/>
      <c r="E28" s="60"/>
      <c r="F28" s="60"/>
    </row>
    <row r="29" spans="1:7" ht="15" customHeight="1">
      <c r="A29" s="38" t="s">
        <v>206</v>
      </c>
      <c r="B29" s="38" t="s">
        <v>207</v>
      </c>
      <c r="C29" s="38" t="s">
        <v>208</v>
      </c>
      <c r="D29" s="38" t="s">
        <v>209</v>
      </c>
      <c r="E29" s="38" t="s">
        <v>210</v>
      </c>
      <c r="F29" s="38" t="s">
        <v>211</v>
      </c>
    </row>
    <row r="30" spans="1:7" ht="15" customHeight="1">
      <c r="A30" s="43" t="str">
        <f>IF(RIGHT('Calculated Variables'!$A5,4)="2021",'Calculated Variables'!$A5,"")</f>
        <v>One97 Communications Ltd (Paytm)_2021</v>
      </c>
      <c r="B30" s="44">
        <f>IF(RIGHT('Calculated Variables'!$A5,4)="2021",'Calculated Variables'!$B5,"")</f>
        <v>2.1100000000000001E-2</v>
      </c>
      <c r="C30" s="44">
        <f>IF(RIGHT('Calculated Variables'!$A5,4)="2021",'Calculated Variables'!$C5,"")</f>
        <v>5.9499999999999997E-2</v>
      </c>
      <c r="D30" s="44">
        <f>IF(RIGHT('Calculated Variables'!$A5,4)="2021",'Calculated Variables'!$D5,"")</f>
        <v>-0.18590000000000001</v>
      </c>
      <c r="E30" s="45">
        <f>IF(RIGHT('Calculated Variables'!$A5,4)="2021",'Calculated Variables'!$E5,"")</f>
        <v>9.1217000000000006</v>
      </c>
      <c r="F30" s="44" t="str">
        <f>IF(RIGHT('Calculated Variables'!$A5,4)="2021",'Calculated Variables'!$F5,"")</f>
        <v>NA</v>
      </c>
    </row>
    <row r="31" spans="1:7" ht="15" customHeight="1">
      <c r="A31" s="43" t="str">
        <f>IF(RIGHT('Calculated Variables'!$A6,4)="2021",'Calculated Variables'!$A6,"")</f>
        <v/>
      </c>
      <c r="B31" s="44" t="str">
        <f>IF(RIGHT('Calculated Variables'!$A6,4)="2021",'Calculated Variables'!$B6,"")</f>
        <v/>
      </c>
      <c r="C31" s="44" t="str">
        <f>IF(RIGHT('Calculated Variables'!$A6,4)="2021",'Calculated Variables'!$C6,"")</f>
        <v/>
      </c>
      <c r="D31" s="44" t="str">
        <f>IF(RIGHT('Calculated Variables'!$A6,4)="2021",'Calculated Variables'!$D6,"")</f>
        <v/>
      </c>
      <c r="E31" s="45" t="str">
        <f>IF(RIGHT('Calculated Variables'!$A6,4)="2021",'Calculated Variables'!$E6,"")</f>
        <v/>
      </c>
      <c r="F31" s="44" t="str">
        <f>IF(RIGHT('Calculated Variables'!$A6,4)="2021",'Calculated Variables'!$F6,"")</f>
        <v/>
      </c>
    </row>
    <row r="32" spans="1:7" ht="15" customHeight="1">
      <c r="A32" s="43" t="str">
        <f>IF(RIGHT('Calculated Variables'!$A7,4)="2021",'Calculated Variables'!$A7,"")</f>
        <v/>
      </c>
      <c r="B32" s="44" t="str">
        <f>IF(RIGHT('Calculated Variables'!$A7,4)="2021",'Calculated Variables'!$B7,"")</f>
        <v/>
      </c>
      <c r="C32" s="44" t="str">
        <f>IF(RIGHT('Calculated Variables'!$A7,4)="2021",'Calculated Variables'!$C7,"")</f>
        <v/>
      </c>
      <c r="D32" s="44" t="str">
        <f>IF(RIGHT('Calculated Variables'!$A7,4)="2021",'Calculated Variables'!$D7,"")</f>
        <v/>
      </c>
      <c r="E32" s="45" t="str">
        <f>IF(RIGHT('Calculated Variables'!$A7,4)="2021",'Calculated Variables'!$E7,"")</f>
        <v/>
      </c>
      <c r="F32" s="44" t="str">
        <f>IF(RIGHT('Calculated Variables'!$A7,4)="2021",'Calculated Variables'!$F7,"")</f>
        <v/>
      </c>
    </row>
    <row r="33" spans="1:6" ht="15" customHeight="1">
      <c r="A33" s="43" t="str">
        <f>IF(RIGHT('Calculated Variables'!$A8,4)="2021",'Calculated Variables'!$A8,"")</f>
        <v/>
      </c>
      <c r="B33" s="44" t="str">
        <f>IF(RIGHT('Calculated Variables'!$A8,4)="2021",'Calculated Variables'!$B8,"")</f>
        <v/>
      </c>
      <c r="C33" s="44" t="str">
        <f>IF(RIGHT('Calculated Variables'!$A8,4)="2021",'Calculated Variables'!$C8,"")</f>
        <v/>
      </c>
      <c r="D33" s="44" t="str">
        <f>IF(RIGHT('Calculated Variables'!$A8,4)="2021",'Calculated Variables'!$D8,"")</f>
        <v/>
      </c>
      <c r="E33" s="45" t="str">
        <f>IF(RIGHT('Calculated Variables'!$A8,4)="2021",'Calculated Variables'!$E8,"")</f>
        <v/>
      </c>
      <c r="F33" s="44" t="str">
        <f>IF(RIGHT('Calculated Variables'!$A8,4)="2021",'Calculated Variables'!$F8,"")</f>
        <v/>
      </c>
    </row>
    <row r="34" spans="1:6" ht="15" customHeight="1">
      <c r="A34" s="43" t="str">
        <f>IF(RIGHT('Calculated Variables'!$A9,4)="2021",'Calculated Variables'!$A9,"")</f>
        <v>PB Fintech Ltd (Policybazaar)_2021</v>
      </c>
      <c r="B34" s="44">
        <f>IF(RIGHT('Calculated Variables'!$A9,4)="2021",'Calculated Variables'!$B9,"")</f>
        <v>2.5000000000000001E-3</v>
      </c>
      <c r="C34" s="44">
        <f>IF(RIGHT('Calculated Variables'!$A9,4)="2021",'Calculated Variables'!$C9,"")</f>
        <v>0</v>
      </c>
      <c r="D34" s="44">
        <f>IF(RIGHT('Calculated Variables'!$A9,4)="2021",'Calculated Variables'!$D9,"")</f>
        <v>-6.4500000000000002E-2</v>
      </c>
      <c r="E34" s="45">
        <f>IF(RIGHT('Calculated Variables'!$A9,4)="2021",'Calculated Variables'!$E9,"")</f>
        <v>7.7538999999999998</v>
      </c>
      <c r="F34" s="44" t="str">
        <f>IF(RIGHT('Calculated Variables'!$A9,4)="2021",'Calculated Variables'!$F9,"")</f>
        <v>NA</v>
      </c>
    </row>
    <row r="35" spans="1:6" ht="15" customHeight="1">
      <c r="A35" s="43" t="str">
        <f>IF(RIGHT('Calculated Variables'!$A10,4)="2021",'Calculated Variables'!$A10,"")</f>
        <v/>
      </c>
      <c r="B35" s="44" t="str">
        <f>IF(RIGHT('Calculated Variables'!$A10,4)="2021",'Calculated Variables'!$B10,"")</f>
        <v/>
      </c>
      <c r="C35" s="44" t="str">
        <f>IF(RIGHT('Calculated Variables'!$A10,4)="2021",'Calculated Variables'!$C10,"")</f>
        <v/>
      </c>
      <c r="D35" s="44" t="str">
        <f>IF(RIGHT('Calculated Variables'!$A10,4)="2021",'Calculated Variables'!$D10,"")</f>
        <v/>
      </c>
      <c r="E35" s="45" t="str">
        <f>IF(RIGHT('Calculated Variables'!$A10,4)="2021",'Calculated Variables'!$E10,"")</f>
        <v/>
      </c>
      <c r="F35" s="44" t="str">
        <f>IF(RIGHT('Calculated Variables'!$A10,4)="2021",'Calculated Variables'!$F10,"")</f>
        <v/>
      </c>
    </row>
    <row r="36" spans="1:6" ht="15" customHeight="1">
      <c r="A36" s="43" t="str">
        <f>IF(RIGHT('Calculated Variables'!$A11,4)="2021",'Calculated Variables'!$A11,"")</f>
        <v/>
      </c>
      <c r="B36" s="44" t="str">
        <f>IF(RIGHT('Calculated Variables'!$A11,4)="2021",'Calculated Variables'!$B11,"")</f>
        <v/>
      </c>
      <c r="C36" s="44" t="str">
        <f>IF(RIGHT('Calculated Variables'!$A11,4)="2021",'Calculated Variables'!$C11,"")</f>
        <v/>
      </c>
      <c r="D36" s="44" t="str">
        <f>IF(RIGHT('Calculated Variables'!$A11,4)="2021",'Calculated Variables'!$D11,"")</f>
        <v/>
      </c>
      <c r="E36" s="45" t="str">
        <f>IF(RIGHT('Calculated Variables'!$A11,4)="2021",'Calculated Variables'!$E11,"")</f>
        <v/>
      </c>
      <c r="F36" s="44" t="str">
        <f>IF(RIGHT('Calculated Variables'!$A11,4)="2021",'Calculated Variables'!$F11,"")</f>
        <v/>
      </c>
    </row>
    <row r="37" spans="1:6" ht="15" customHeight="1">
      <c r="A37" s="43" t="str">
        <f>IF(RIGHT('Calculated Variables'!$A12,4)="2021",'Calculated Variables'!$A12,"")</f>
        <v/>
      </c>
      <c r="B37" s="44" t="str">
        <f>IF(RIGHT('Calculated Variables'!$A12,4)="2021",'Calculated Variables'!$B12,"")</f>
        <v/>
      </c>
      <c r="C37" s="44" t="str">
        <f>IF(RIGHT('Calculated Variables'!$A12,4)="2021",'Calculated Variables'!$C12,"")</f>
        <v/>
      </c>
      <c r="D37" s="44" t="str">
        <f>IF(RIGHT('Calculated Variables'!$A12,4)="2021",'Calculated Variables'!$D12,"")</f>
        <v/>
      </c>
      <c r="E37" s="45" t="str">
        <f>IF(RIGHT('Calculated Variables'!$A12,4)="2021",'Calculated Variables'!$E12,"")</f>
        <v/>
      </c>
      <c r="F37" s="44" t="str">
        <f>IF(RIGHT('Calculated Variables'!$A12,4)="2021",'Calculated Variables'!$F12,"")</f>
        <v/>
      </c>
    </row>
    <row r="38" spans="1:6" ht="15" customHeight="1">
      <c r="A38" s="43" t="str">
        <f>IF(RIGHT('Calculated Variables'!$A13,4)="2021",'Calculated Variables'!$A13,"")</f>
        <v>Computer Age Management Services Ltd (CAMS)_2021</v>
      </c>
      <c r="B38" s="44">
        <f>IF(RIGHT('Calculated Variables'!$A13,4)="2021",'Calculated Variables'!$B13,"")</f>
        <v>3.1699999999999999E-2</v>
      </c>
      <c r="C38" s="44">
        <f>IF(RIGHT('Calculated Variables'!$A13,4)="2021",'Calculated Variables'!$C13,"")</f>
        <v>0</v>
      </c>
      <c r="D38" s="44">
        <f>IF(RIGHT('Calculated Variables'!$A13,4)="2021",'Calculated Variables'!$D13,"")</f>
        <v>0.24379999999999999</v>
      </c>
      <c r="E38" s="45">
        <f>IF(RIGHT('Calculated Variables'!$A13,4)="2021",'Calculated Variables'!$E13,"")</f>
        <v>6.7356999999999996</v>
      </c>
      <c r="F38" s="44">
        <f>IF(RIGHT('Calculated Variables'!$A13,4)="2021",'Calculated Variables'!$F13,"")</f>
        <v>0.42859999999999998</v>
      </c>
    </row>
    <row r="39" spans="1:6" ht="15" customHeight="1">
      <c r="A39" s="43" t="str">
        <f>IF(RIGHT('Calculated Variables'!$A14,4)="2021",'Calculated Variables'!$A14,"")</f>
        <v/>
      </c>
      <c r="B39" s="44" t="str">
        <f>IF(RIGHT('Calculated Variables'!$A14,4)="2021",'Calculated Variables'!$B14,"")</f>
        <v/>
      </c>
      <c r="C39" s="44" t="str">
        <f>IF(RIGHT('Calculated Variables'!$A14,4)="2021",'Calculated Variables'!$C14,"")</f>
        <v/>
      </c>
      <c r="D39" s="44" t="str">
        <f>IF(RIGHT('Calculated Variables'!$A14,4)="2021",'Calculated Variables'!$D14,"")</f>
        <v/>
      </c>
      <c r="E39" s="45" t="str">
        <f>IF(RIGHT('Calculated Variables'!$A14,4)="2021",'Calculated Variables'!$E14,"")</f>
        <v/>
      </c>
      <c r="F39" s="44" t="str">
        <f>IF(RIGHT('Calculated Variables'!$A14,4)="2021",'Calculated Variables'!$F14,"")</f>
        <v/>
      </c>
    </row>
    <row r="40" spans="1:6" ht="15" customHeight="1">
      <c r="A40" s="43" t="str">
        <f>IF(RIGHT('Calculated Variables'!$A15,4)="2021",'Calculated Variables'!$A15,"")</f>
        <v/>
      </c>
      <c r="B40" s="44" t="str">
        <f>IF(RIGHT('Calculated Variables'!$A15,4)="2021",'Calculated Variables'!$B15,"")</f>
        <v/>
      </c>
      <c r="C40" s="44" t="str">
        <f>IF(RIGHT('Calculated Variables'!$A15,4)="2021",'Calculated Variables'!$C15,"")</f>
        <v/>
      </c>
      <c r="D40" s="44" t="str">
        <f>IF(RIGHT('Calculated Variables'!$A15,4)="2021",'Calculated Variables'!$D15,"")</f>
        <v/>
      </c>
      <c r="E40" s="45" t="str">
        <f>IF(RIGHT('Calculated Variables'!$A15,4)="2021",'Calculated Variables'!$E15,"")</f>
        <v/>
      </c>
      <c r="F40" s="44" t="str">
        <f>IF(RIGHT('Calculated Variables'!$A15,4)="2021",'Calculated Variables'!$F15,"")</f>
        <v/>
      </c>
    </row>
    <row r="41" spans="1:6" ht="15" customHeight="1">
      <c r="A41" s="43" t="str">
        <f>IF(RIGHT('Calculated Variables'!$A16,4)="2021",'Calculated Variables'!$A16,"")</f>
        <v/>
      </c>
      <c r="B41" s="44" t="str">
        <f>IF(RIGHT('Calculated Variables'!$A16,4)="2021",'Calculated Variables'!$B16,"")</f>
        <v/>
      </c>
      <c r="C41" s="44" t="str">
        <f>IF(RIGHT('Calculated Variables'!$A16,4)="2021",'Calculated Variables'!$C16,"")</f>
        <v/>
      </c>
      <c r="D41" s="44" t="str">
        <f>IF(RIGHT('Calculated Variables'!$A16,4)="2021",'Calculated Variables'!$D16,"")</f>
        <v/>
      </c>
      <c r="E41" s="45" t="str">
        <f>IF(RIGHT('Calculated Variables'!$A16,4)="2021",'Calculated Variables'!$E16,"")</f>
        <v/>
      </c>
      <c r="F41" s="44" t="str">
        <f>IF(RIGHT('Calculated Variables'!$A16,4)="2021",'Calculated Variables'!$F16,"")</f>
        <v/>
      </c>
    </row>
    <row r="42" spans="1:6" ht="15" customHeight="1">
      <c r="A42" s="43" t="str">
        <f>IF(RIGHT('Calculated Variables'!$A17,4)="2021",'Calculated Variables'!$A17,"")</f>
        <v>Central Depository Services (India) Ltd (CDSL)_2021</v>
      </c>
      <c r="B42" s="44">
        <f>IF(RIGHT('Calculated Variables'!$A17,4)="2021",'Calculated Variables'!$B17,"")</f>
        <v>7.7000000000000002E-3</v>
      </c>
      <c r="C42" s="44">
        <f>IF(RIGHT('Calculated Variables'!$A17,4)="2021",'Calculated Variables'!$C17,"")</f>
        <v>0</v>
      </c>
      <c r="D42" s="44">
        <f>IF(RIGHT('Calculated Variables'!$A17,4)="2021",'Calculated Variables'!$D17,"")</f>
        <v>0.1857</v>
      </c>
      <c r="E42" s="45">
        <f>IF(RIGHT('Calculated Variables'!$A17,4)="2021",'Calculated Variables'!$E17,"")</f>
        <v>6.9884000000000004</v>
      </c>
      <c r="F42" s="44">
        <f>IF(RIGHT('Calculated Variables'!$A17,4)="2021",'Calculated Variables'!$F17,"")</f>
        <v>0.625</v>
      </c>
    </row>
    <row r="43" spans="1:6" ht="15" customHeight="1">
      <c r="A43" s="43" t="str">
        <f>IF(RIGHT('Calculated Variables'!$A18,4)="2021",'Calculated Variables'!$A18,"")</f>
        <v/>
      </c>
      <c r="B43" s="44" t="str">
        <f>IF(RIGHT('Calculated Variables'!$A18,4)="2021",'Calculated Variables'!$B18,"")</f>
        <v/>
      </c>
      <c r="C43" s="44" t="str">
        <f>IF(RIGHT('Calculated Variables'!$A18,4)="2021",'Calculated Variables'!$C18,"")</f>
        <v/>
      </c>
      <c r="D43" s="44" t="str">
        <f>IF(RIGHT('Calculated Variables'!$A18,4)="2021",'Calculated Variables'!$D18,"")</f>
        <v/>
      </c>
      <c r="E43" s="45" t="str">
        <f>IF(RIGHT('Calculated Variables'!$A18,4)="2021",'Calculated Variables'!$E18,"")</f>
        <v/>
      </c>
      <c r="F43" s="44" t="str">
        <f>IF(RIGHT('Calculated Variables'!$A18,4)="2021",'Calculated Variables'!$F18,"")</f>
        <v/>
      </c>
    </row>
    <row r="44" spans="1:6" ht="15" customHeight="1">
      <c r="A44" s="43" t="str">
        <f>IF(RIGHT('Calculated Variables'!$A19,4)="2021",'Calculated Variables'!$A19,"")</f>
        <v/>
      </c>
      <c r="B44" s="44" t="str">
        <f>IF(RIGHT('Calculated Variables'!$A19,4)="2021",'Calculated Variables'!$B19,"")</f>
        <v/>
      </c>
      <c r="C44" s="44" t="str">
        <f>IF(RIGHT('Calculated Variables'!$A19,4)="2021",'Calculated Variables'!$C19,"")</f>
        <v/>
      </c>
      <c r="D44" s="44" t="str">
        <f>IF(RIGHT('Calculated Variables'!$A19,4)="2021",'Calculated Variables'!$D19,"")</f>
        <v/>
      </c>
      <c r="E44" s="45" t="str">
        <f>IF(RIGHT('Calculated Variables'!$A19,4)="2021",'Calculated Variables'!$E19,"")</f>
        <v/>
      </c>
      <c r="F44" s="44" t="str">
        <f>IF(RIGHT('Calculated Variables'!$A19,4)="2021",'Calculated Variables'!$F19,"")</f>
        <v/>
      </c>
    </row>
    <row r="45" spans="1:6" ht="15" customHeight="1">
      <c r="A45" s="43" t="str">
        <f>IF(RIGHT('Calculated Variables'!$A20,4)="2021",'Calculated Variables'!$A20,"")</f>
        <v/>
      </c>
      <c r="B45" s="44" t="str">
        <f>IF(RIGHT('Calculated Variables'!$A20,4)="2021",'Calculated Variables'!$B20,"")</f>
        <v/>
      </c>
      <c r="C45" s="44" t="str">
        <f>IF(RIGHT('Calculated Variables'!$A20,4)="2021",'Calculated Variables'!$C20,"")</f>
        <v/>
      </c>
      <c r="D45" s="44" t="str">
        <f>IF(RIGHT('Calculated Variables'!$A20,4)="2021",'Calculated Variables'!$D20,"")</f>
        <v/>
      </c>
      <c r="E45" s="45" t="str">
        <f>IF(RIGHT('Calculated Variables'!$A20,4)="2021",'Calculated Variables'!$E20,"")</f>
        <v/>
      </c>
      <c r="F45" s="44" t="str">
        <f>IF(RIGHT('Calculated Variables'!$A20,4)="2021",'Calculated Variables'!$F20,"")</f>
        <v/>
      </c>
    </row>
    <row r="46" spans="1:6" ht="15" customHeight="1">
      <c r="A46" s="43" t="str">
        <f>IF(RIGHT('Calculated Variables'!$A21,4)="2021",'Calculated Variables'!$A21,"")</f>
        <v>BSE Ltd_2021</v>
      </c>
      <c r="B46" s="44">
        <f>IF(RIGHT('Calculated Variables'!$A21,4)="2021",'Calculated Variables'!$B21,"")</f>
        <v>8.3000000000000001E-3</v>
      </c>
      <c r="C46" s="44">
        <f>IF(RIGHT('Calculated Variables'!$A21,4)="2021",'Calculated Variables'!$C21,"")</f>
        <v>0</v>
      </c>
      <c r="D46" s="44">
        <f>IF(RIGHT('Calculated Variables'!$A21,4)="2021",'Calculated Variables'!$D21,"")</f>
        <v>3.0599999999999999E-2</v>
      </c>
      <c r="E46" s="45">
        <f>IF(RIGHT('Calculated Variables'!$A21,4)="2021",'Calculated Variables'!$E21,"")</f>
        <v>8.4397000000000002</v>
      </c>
      <c r="F46" s="44">
        <f>IF(RIGHT('Calculated Variables'!$A21,4)="2021",'Calculated Variables'!$F21,"")</f>
        <v>0.75</v>
      </c>
    </row>
    <row r="47" spans="1:6" ht="15" customHeight="1">
      <c r="A47" s="43" t="str">
        <f>IF(RIGHT('Calculated Variables'!$A22,4)="2021",'Calculated Variables'!$A22,"")</f>
        <v/>
      </c>
      <c r="B47" s="44" t="str">
        <f>IF(RIGHT('Calculated Variables'!$A22,4)="2021",'Calculated Variables'!$B22,"")</f>
        <v/>
      </c>
      <c r="C47" s="44" t="str">
        <f>IF(RIGHT('Calculated Variables'!$A22,4)="2021",'Calculated Variables'!$C22,"")</f>
        <v/>
      </c>
      <c r="D47" s="44" t="str">
        <f>IF(RIGHT('Calculated Variables'!$A22,4)="2021",'Calculated Variables'!$D22,"")</f>
        <v/>
      </c>
      <c r="E47" s="45" t="str">
        <f>IF(RIGHT('Calculated Variables'!$A22,4)="2021",'Calculated Variables'!$E22,"")</f>
        <v/>
      </c>
      <c r="F47" s="44" t="str">
        <f>IF(RIGHT('Calculated Variables'!$A22,4)="2021",'Calculated Variables'!$F22,"")</f>
        <v/>
      </c>
    </row>
    <row r="48" spans="1:6" ht="15" customHeight="1">
      <c r="A48" s="43" t="str">
        <f>IF(RIGHT('Calculated Variables'!$A23,4)="2021",'Calculated Variables'!$A23,"")</f>
        <v/>
      </c>
      <c r="B48" s="44" t="str">
        <f>IF(RIGHT('Calculated Variables'!$A23,4)="2021",'Calculated Variables'!$B23,"")</f>
        <v/>
      </c>
      <c r="C48" s="44" t="str">
        <f>IF(RIGHT('Calculated Variables'!$A23,4)="2021",'Calculated Variables'!$C23,"")</f>
        <v/>
      </c>
      <c r="D48" s="44" t="str">
        <f>IF(RIGHT('Calculated Variables'!$A23,4)="2021",'Calculated Variables'!$D23,"")</f>
        <v/>
      </c>
      <c r="E48" s="45" t="str">
        <f>IF(RIGHT('Calculated Variables'!$A23,4)="2021",'Calculated Variables'!$E23,"")</f>
        <v/>
      </c>
      <c r="F48" s="44" t="str">
        <f>IF(RIGHT('Calculated Variables'!$A23,4)="2021",'Calculated Variables'!$F23,"")</f>
        <v/>
      </c>
    </row>
    <row r="49" spans="1:6" ht="15" customHeight="1">
      <c r="A49" s="43" t="str">
        <f>IF(RIGHT('Calculated Variables'!$A24,4)="2021",'Calculated Variables'!$A24,"")</f>
        <v/>
      </c>
      <c r="B49" s="44" t="str">
        <f>IF(RIGHT('Calculated Variables'!$A24,4)="2021",'Calculated Variables'!$B24,"")</f>
        <v/>
      </c>
      <c r="C49" s="44" t="str">
        <f>IF(RIGHT('Calculated Variables'!$A24,4)="2021",'Calculated Variables'!$C24,"")</f>
        <v/>
      </c>
      <c r="D49" s="44" t="str">
        <f>IF(RIGHT('Calculated Variables'!$A24,4)="2021",'Calculated Variables'!$D24,"")</f>
        <v/>
      </c>
      <c r="E49" s="45" t="str">
        <f>IF(RIGHT('Calculated Variables'!$A24,4)="2021",'Calculated Variables'!$E24,"")</f>
        <v/>
      </c>
      <c r="F49" s="44" t="str">
        <f>IF(RIGHT('Calculated Variables'!$A24,4)="2021",'Calculated Variables'!$F24,"")</f>
        <v/>
      </c>
    </row>
    <row r="50" spans="1:6" ht="15" customHeight="1">
      <c r="A50" s="43" t="str">
        <f>IF(RIGHT('Calculated Variables'!$A25,4)="2021",'Calculated Variables'!$A25,"")</f>
        <v>Angel One Ltd_2021</v>
      </c>
      <c r="B50" s="44">
        <f>IF(RIGHT('Calculated Variables'!$A25,4)="2021",'Calculated Variables'!$B25,"")</f>
        <v>3.0000000000000001E-3</v>
      </c>
      <c r="C50" s="44">
        <f>IF(RIGHT('Calculated Variables'!$A25,4)="2021",'Calculated Variables'!$C25,"")</f>
        <v>0.24340000000000001</v>
      </c>
      <c r="D50" s="44">
        <f>IF(RIGHT('Calculated Variables'!$A25,4)="2021",'Calculated Variables'!$D25,"")</f>
        <v>6.1699999999999998E-2</v>
      </c>
      <c r="E50" s="45">
        <f>IF(RIGHT('Calculated Variables'!$A25,4)="2021",'Calculated Variables'!$E25,"")</f>
        <v>8.4792000000000005</v>
      </c>
      <c r="F50" s="44">
        <f>IF(RIGHT('Calculated Variables'!$A25,4)="2021",'Calculated Variables'!$F25,"")</f>
        <v>0.5</v>
      </c>
    </row>
    <row r="51" spans="1:6" ht="15" customHeight="1">
      <c r="A51" s="43" t="str">
        <f>IF(RIGHT('Calculated Variables'!$A26,4)="2021",'Calculated Variables'!$A26,"")</f>
        <v/>
      </c>
      <c r="B51" s="44" t="str">
        <f>IF(RIGHT('Calculated Variables'!$A26,4)="2021",'Calculated Variables'!$B26,"")</f>
        <v/>
      </c>
      <c r="C51" s="44" t="str">
        <f>IF(RIGHT('Calculated Variables'!$A26,4)="2021",'Calculated Variables'!$C26,"")</f>
        <v/>
      </c>
      <c r="D51" s="44" t="str">
        <f>IF(RIGHT('Calculated Variables'!$A26,4)="2021",'Calculated Variables'!$D26,"")</f>
        <v/>
      </c>
      <c r="E51" s="45" t="str">
        <f>IF(RIGHT('Calculated Variables'!$A26,4)="2021",'Calculated Variables'!$E26,"")</f>
        <v/>
      </c>
      <c r="F51" s="44" t="str">
        <f>IF(RIGHT('Calculated Variables'!$A26,4)="2021",'Calculated Variables'!$F26,"")</f>
        <v/>
      </c>
    </row>
    <row r="52" spans="1:6" ht="15" customHeight="1">
      <c r="A52" s="43" t="str">
        <f>IF(RIGHT('Calculated Variables'!$A27,4)="2021",'Calculated Variables'!$A27,"")</f>
        <v/>
      </c>
      <c r="B52" s="44" t="str">
        <f>IF(RIGHT('Calculated Variables'!$A27,4)="2021",'Calculated Variables'!$B27,"")</f>
        <v/>
      </c>
      <c r="C52" s="44" t="str">
        <f>IF(RIGHT('Calculated Variables'!$A27,4)="2021",'Calculated Variables'!$C27,"")</f>
        <v/>
      </c>
      <c r="D52" s="44" t="str">
        <f>IF(RIGHT('Calculated Variables'!$A27,4)="2021",'Calculated Variables'!$D27,"")</f>
        <v/>
      </c>
      <c r="E52" s="45" t="str">
        <f>IF(RIGHT('Calculated Variables'!$A27,4)="2021",'Calculated Variables'!$E27,"")</f>
        <v/>
      </c>
      <c r="F52" s="44" t="str">
        <f>IF(RIGHT('Calculated Variables'!$A27,4)="2021",'Calculated Variables'!$F27,"")</f>
        <v/>
      </c>
    </row>
    <row r="53" spans="1:6" ht="15" customHeight="1">
      <c r="A53" s="43" t="str">
        <f>IF(RIGHT('Calculated Variables'!$A28,4)="2021",'Calculated Variables'!$A28,"")</f>
        <v/>
      </c>
      <c r="B53" s="44" t="str">
        <f>IF(RIGHT('Calculated Variables'!$A28,4)="2021",'Calculated Variables'!$B28,"")</f>
        <v/>
      </c>
      <c r="C53" s="44" t="str">
        <f>IF(RIGHT('Calculated Variables'!$A28,4)="2021",'Calculated Variables'!$C28,"")</f>
        <v/>
      </c>
      <c r="D53" s="44" t="str">
        <f>IF(RIGHT('Calculated Variables'!$A28,4)="2021",'Calculated Variables'!$D28,"")</f>
        <v/>
      </c>
      <c r="E53" s="45" t="str">
        <f>IF(RIGHT('Calculated Variables'!$A28,4)="2021",'Calculated Variables'!$E28,"")</f>
        <v/>
      </c>
      <c r="F53" s="44" t="str">
        <f>IF(RIGHT('Calculated Variables'!$A28,4)="2021",'Calculated Variables'!$F28,"")</f>
        <v/>
      </c>
    </row>
    <row r="54" spans="1:6" ht="15" customHeight="1">
      <c r="A54" s="43" t="str">
        <f>IF(RIGHT('Calculated Variables'!$A29,4)="2021",'Calculated Variables'!$A29,"")</f>
        <v>5paisa Capital Ltd_2021</v>
      </c>
      <c r="B54" s="44">
        <f>IF(RIGHT('Calculated Variables'!$A29,4)="2021",'Calculated Variables'!$B29,"")</f>
        <v>4.7999999999999996E-3</v>
      </c>
      <c r="C54" s="44">
        <f>IF(RIGHT('Calculated Variables'!$A29,4)="2021",'Calculated Variables'!$C29,"")</f>
        <v>0.26979999999999998</v>
      </c>
      <c r="D54" s="44">
        <f>IF(RIGHT('Calculated Variables'!$A29,4)="2021",'Calculated Variables'!$D29,"")</f>
        <v>1.6899999999999998E-2</v>
      </c>
      <c r="E54" s="45">
        <f>IF(RIGHT('Calculated Variables'!$A29,4)="2021",'Calculated Variables'!$E29,"")</f>
        <v>6.7648999999999999</v>
      </c>
      <c r="F54" s="44">
        <f>IF(RIGHT('Calculated Variables'!$A29,4)="2021",'Calculated Variables'!$F29,"")</f>
        <v>0.57140000000000002</v>
      </c>
    </row>
    <row r="55" spans="1:6" ht="15" customHeight="1">
      <c r="A55" s="43" t="str">
        <f>IF(RIGHT('Calculated Variables'!$A30,4)="2021",'Calculated Variables'!$A30,"")</f>
        <v/>
      </c>
      <c r="B55" s="44" t="str">
        <f>IF(RIGHT('Calculated Variables'!$A30,4)="2021",'Calculated Variables'!$B30,"")</f>
        <v/>
      </c>
      <c r="C55" s="44" t="str">
        <f>IF(RIGHT('Calculated Variables'!$A30,4)="2021",'Calculated Variables'!$C30,"")</f>
        <v/>
      </c>
      <c r="D55" s="44" t="str">
        <f>IF(RIGHT('Calculated Variables'!$A30,4)="2021",'Calculated Variables'!$D30,"")</f>
        <v/>
      </c>
      <c r="E55" s="45" t="str">
        <f>IF(RIGHT('Calculated Variables'!$A30,4)="2021",'Calculated Variables'!$E30,"")</f>
        <v/>
      </c>
      <c r="F55" s="44" t="str">
        <f>IF(RIGHT('Calculated Variables'!$A30,4)="2021",'Calculated Variables'!$F30,"")</f>
        <v/>
      </c>
    </row>
    <row r="56" spans="1:6" ht="15" customHeight="1">
      <c r="A56" s="43" t="str">
        <f>IF(RIGHT('Calculated Variables'!$A31,4)="2021",'Calculated Variables'!$A31,"")</f>
        <v/>
      </c>
      <c r="B56" s="44" t="str">
        <f>IF(RIGHT('Calculated Variables'!$A31,4)="2021",'Calculated Variables'!$B31,"")</f>
        <v/>
      </c>
      <c r="C56" s="44" t="str">
        <f>IF(RIGHT('Calculated Variables'!$A31,4)="2021",'Calculated Variables'!$C31,"")</f>
        <v/>
      </c>
      <c r="D56" s="44" t="str">
        <f>IF(RIGHT('Calculated Variables'!$A31,4)="2021",'Calculated Variables'!$D31,"")</f>
        <v/>
      </c>
      <c r="E56" s="45" t="str">
        <f>IF(RIGHT('Calculated Variables'!$A31,4)="2021",'Calculated Variables'!$E31,"")</f>
        <v/>
      </c>
      <c r="F56" s="44" t="str">
        <f>IF(RIGHT('Calculated Variables'!$A31,4)="2021",'Calculated Variables'!$F31,"")</f>
        <v/>
      </c>
    </row>
    <row r="57" spans="1:6" ht="15" customHeight="1">
      <c r="A57" s="43" t="str">
        <f>IF(RIGHT('Calculated Variables'!$A32,4)="2021",'Calculated Variables'!$A32,"")</f>
        <v/>
      </c>
      <c r="B57" s="44" t="str">
        <f>IF(RIGHT('Calculated Variables'!$A32,4)="2021",'Calculated Variables'!$B32,"")</f>
        <v/>
      </c>
      <c r="C57" s="44" t="str">
        <f>IF(RIGHT('Calculated Variables'!$A32,4)="2021",'Calculated Variables'!$C32,"")</f>
        <v/>
      </c>
      <c r="D57" s="44" t="str">
        <f>IF(RIGHT('Calculated Variables'!$A32,4)="2021",'Calculated Variables'!$D32,"")</f>
        <v/>
      </c>
      <c r="E57" s="45" t="str">
        <f>IF(RIGHT('Calculated Variables'!$A32,4)="2021",'Calculated Variables'!$E32,"")</f>
        <v/>
      </c>
      <c r="F57" s="44" t="str">
        <f>IF(RIGHT('Calculated Variables'!$A32,4)="2021",'Calculated Variables'!$F32,"")</f>
        <v/>
      </c>
    </row>
    <row r="58" spans="1:6" ht="15" customHeight="1">
      <c r="A58" s="43" t="str">
        <f>IF(RIGHT('Calculated Variables'!$A33,4)="2021",'Calculated Variables'!$A33,"")</f>
        <v>Infibeam Avenues Ltd_2021</v>
      </c>
      <c r="B58" s="44">
        <f>IF(RIGHT('Calculated Variables'!$A33,4)="2021",'Calculated Variables'!$B33,"")</f>
        <v>2.3699999999999999E-2</v>
      </c>
      <c r="C58" s="44">
        <f>IF(RIGHT('Calculated Variables'!$A33,4)="2021",'Calculated Variables'!$C33,"")</f>
        <v>5.5999999999999999E-3</v>
      </c>
      <c r="D58" s="44">
        <f>IF(RIGHT('Calculated Variables'!$A33,4)="2021",'Calculated Variables'!$D33,"")</f>
        <v>1.9800000000000002E-2</v>
      </c>
      <c r="E58" s="45">
        <f>IF(RIGHT('Calculated Variables'!$A33,4)="2021",'Calculated Variables'!$E33,"")</f>
        <v>8.1745999999999999</v>
      </c>
      <c r="F58" s="44">
        <f>IF(RIGHT('Calculated Variables'!$A33,4)="2021",'Calculated Variables'!$F33,"")</f>
        <v>0.57140000000000002</v>
      </c>
    </row>
    <row r="59" spans="1:6" ht="15" customHeight="1">
      <c r="A59" s="43" t="str">
        <f>IF(RIGHT('Calculated Variables'!$A34,4)="2021",'Calculated Variables'!$A34,"")</f>
        <v/>
      </c>
      <c r="B59" s="44" t="str">
        <f>IF(RIGHT('Calculated Variables'!$A34,4)="2021",'Calculated Variables'!$B34,"")</f>
        <v/>
      </c>
      <c r="C59" s="44" t="str">
        <f>IF(RIGHT('Calculated Variables'!$A34,4)="2021",'Calculated Variables'!$C34,"")</f>
        <v/>
      </c>
      <c r="D59" s="44" t="str">
        <f>IF(RIGHT('Calculated Variables'!$A34,4)="2021",'Calculated Variables'!$D34,"")</f>
        <v/>
      </c>
      <c r="E59" s="45" t="str">
        <f>IF(RIGHT('Calculated Variables'!$A34,4)="2021",'Calculated Variables'!$E34,"")</f>
        <v/>
      </c>
      <c r="F59" s="44" t="str">
        <f>IF(RIGHT('Calculated Variables'!$A34,4)="2021",'Calculated Variables'!$F34,"")</f>
        <v/>
      </c>
    </row>
    <row r="60" spans="1:6" ht="15" customHeight="1">
      <c r="A60" s="43" t="str">
        <f>IF(RIGHT('Calculated Variables'!$A35,4)="2021",'Calculated Variables'!$A35,"")</f>
        <v/>
      </c>
      <c r="B60" s="44" t="str">
        <f>IF(RIGHT('Calculated Variables'!$A35,4)="2021",'Calculated Variables'!$B35,"")</f>
        <v/>
      </c>
      <c r="C60" s="44" t="str">
        <f>IF(RIGHT('Calculated Variables'!$A35,4)="2021",'Calculated Variables'!$C35,"")</f>
        <v/>
      </c>
      <c r="D60" s="44" t="str">
        <f>IF(RIGHT('Calculated Variables'!$A35,4)="2021",'Calculated Variables'!$D35,"")</f>
        <v/>
      </c>
      <c r="E60" s="45" t="str">
        <f>IF(RIGHT('Calculated Variables'!$A35,4)="2021",'Calculated Variables'!$E35,"")</f>
        <v/>
      </c>
      <c r="F60" s="44" t="str">
        <f>IF(RIGHT('Calculated Variables'!$A35,4)="2021",'Calculated Variables'!$F35,"")</f>
        <v/>
      </c>
    </row>
    <row r="61" spans="1:6" ht="15" customHeight="1">
      <c r="A61" s="43" t="str">
        <f>IF(RIGHT('Calculated Variables'!$A36,4)="2021",'Calculated Variables'!$A36,"")</f>
        <v/>
      </c>
      <c r="B61" s="44" t="str">
        <f>IF(RIGHT('Calculated Variables'!$A36,4)="2021",'Calculated Variables'!$B36,"")</f>
        <v/>
      </c>
      <c r="C61" s="44" t="str">
        <f>IF(RIGHT('Calculated Variables'!$A36,4)="2021",'Calculated Variables'!$C36,"")</f>
        <v/>
      </c>
      <c r="D61" s="44" t="str">
        <f>IF(RIGHT('Calculated Variables'!$A36,4)="2021",'Calculated Variables'!$D36,"")</f>
        <v/>
      </c>
      <c r="E61" s="45" t="str">
        <f>IF(RIGHT('Calculated Variables'!$A36,4)="2021",'Calculated Variables'!$E36,"")</f>
        <v/>
      </c>
      <c r="F61" s="44" t="str">
        <f>IF(RIGHT('Calculated Variables'!$A36,4)="2021",'Calculated Variables'!$F36,"")</f>
        <v/>
      </c>
    </row>
    <row r="62" spans="1:6" ht="15" customHeight="1">
      <c r="A62" s="43" t="str">
        <f>IF(RIGHT('Calculated Variables'!$A37,4)="2021",'Calculated Variables'!$A37,"")</f>
        <v>Zaggle Prepaid Ocean Services Ltd_2021</v>
      </c>
      <c r="B62" s="44">
        <f>IF(RIGHT('Calculated Variables'!$A37,4)="2021",'Calculated Variables'!$B37,"")</f>
        <v>2.7199999999999998E-2</v>
      </c>
      <c r="C62" s="44">
        <f>IF(RIGHT('Calculated Variables'!$A37,4)="2021",'Calculated Variables'!$C37,"")</f>
        <v>0.56489999999999996</v>
      </c>
      <c r="D62" s="44">
        <f>IF(RIGHT('Calculated Variables'!$A37,4)="2021",'Calculated Variables'!$D37,"")</f>
        <v>0.4108</v>
      </c>
      <c r="E62" s="45">
        <f>IF(RIGHT('Calculated Variables'!$A37,4)="2021",'Calculated Variables'!$E37,"")</f>
        <v>4.0872000000000002</v>
      </c>
      <c r="F62" s="44">
        <f>IF(RIGHT('Calculated Variables'!$A37,4)="2021",'Calculated Variables'!$F37,"")</f>
        <v>0</v>
      </c>
    </row>
    <row r="63" spans="1:6" ht="15" customHeight="1">
      <c r="A63" s="43" t="str">
        <f>IF(RIGHT('Calculated Variables'!$A38,4)="2021",'Calculated Variables'!$A38,"")</f>
        <v/>
      </c>
      <c r="B63" s="44" t="str">
        <f>IF(RIGHT('Calculated Variables'!$A38,4)="2021",'Calculated Variables'!$B38,"")</f>
        <v/>
      </c>
      <c r="C63" s="44" t="str">
        <f>IF(RIGHT('Calculated Variables'!$A38,4)="2021",'Calculated Variables'!$C38,"")</f>
        <v/>
      </c>
      <c r="D63" s="44" t="str">
        <f>IF(RIGHT('Calculated Variables'!$A38,4)="2021",'Calculated Variables'!$D38,"")</f>
        <v/>
      </c>
      <c r="E63" s="45" t="str">
        <f>IF(RIGHT('Calculated Variables'!$A38,4)="2021",'Calculated Variables'!$E38,"")</f>
        <v/>
      </c>
      <c r="F63" s="44" t="str">
        <f>IF(RIGHT('Calculated Variables'!$A38,4)="2021",'Calculated Variables'!$F38,"")</f>
        <v/>
      </c>
    </row>
    <row r="64" spans="1:6" ht="15" customHeight="1">
      <c r="A64" s="43" t="str">
        <f>IF(RIGHT('Calculated Variables'!$A39,4)="2021",'Calculated Variables'!$A39,"")</f>
        <v/>
      </c>
      <c r="B64" s="44" t="str">
        <f>IF(RIGHT('Calculated Variables'!$A39,4)="2021",'Calculated Variables'!$B39,"")</f>
        <v/>
      </c>
      <c r="C64" s="44" t="str">
        <f>IF(RIGHT('Calculated Variables'!$A39,4)="2021",'Calculated Variables'!$C39,"")</f>
        <v/>
      </c>
      <c r="D64" s="44" t="str">
        <f>IF(RIGHT('Calculated Variables'!$A39,4)="2021",'Calculated Variables'!$D39,"")</f>
        <v/>
      </c>
      <c r="E64" s="45" t="str">
        <f>IF(RIGHT('Calculated Variables'!$A39,4)="2021",'Calculated Variables'!$E39,"")</f>
        <v/>
      </c>
      <c r="F64" s="44" t="str">
        <f>IF(RIGHT('Calculated Variables'!$A39,4)="2021",'Calculated Variables'!$F39,"")</f>
        <v/>
      </c>
    </row>
    <row r="65" spans="1:6" ht="15" customHeight="1">
      <c r="A65" s="43" t="str">
        <f>IF(RIGHT('Calculated Variables'!$A40,4)="2021",'Calculated Variables'!$A40,"")</f>
        <v/>
      </c>
      <c r="B65" s="44" t="str">
        <f>IF(RIGHT('Calculated Variables'!$A40,4)="2021",'Calculated Variables'!$B40,"")</f>
        <v/>
      </c>
      <c r="C65" s="44" t="str">
        <f>IF(RIGHT('Calculated Variables'!$A40,4)="2021",'Calculated Variables'!$C40,"")</f>
        <v/>
      </c>
      <c r="D65" s="44" t="str">
        <f>IF(RIGHT('Calculated Variables'!$A40,4)="2021",'Calculated Variables'!$D40,"")</f>
        <v/>
      </c>
      <c r="E65" s="45" t="str">
        <f>IF(RIGHT('Calculated Variables'!$A40,4)="2021",'Calculated Variables'!$E40,"")</f>
        <v/>
      </c>
      <c r="F65" s="44" t="str">
        <f>IF(RIGHT('Calculated Variables'!$A40,4)="2021",'Calculated Variables'!$F40,"")</f>
        <v/>
      </c>
    </row>
    <row r="66" spans="1:6" ht="15" customHeight="1">
      <c r="A66" s="43" t="str">
        <f>IF(RIGHT('Calculated Variables'!$A41,4)="2021",'Calculated Variables'!$A41,"")</f>
        <v>Fino Payments Bank Ltd_2021</v>
      </c>
      <c r="B66" s="44">
        <f>IF(RIGHT('Calculated Variables'!$A41,4)="2021",'Calculated Variables'!$B41,"")</f>
        <v>6.83E-2</v>
      </c>
      <c r="C66" s="44">
        <f>IF(RIGHT('Calculated Variables'!$A41,4)="2021",'Calculated Variables'!$C41,"")</f>
        <v>0.17899999999999999</v>
      </c>
      <c r="D66" s="44">
        <f>IF(RIGHT('Calculated Variables'!$A41,4)="2021",'Calculated Variables'!$D41,"")</f>
        <v>2.0299999999999999E-2</v>
      </c>
      <c r="E66" s="45">
        <f>IF(RIGHT('Calculated Variables'!$A41,4)="2021",'Calculated Variables'!$E41,"")</f>
        <v>6.9180000000000001</v>
      </c>
      <c r="F66" s="44" t="str">
        <f>IF(RIGHT('Calculated Variables'!$A41,4)="2021",'Calculated Variables'!$F41,"")</f>
        <v>NA</v>
      </c>
    </row>
    <row r="67" spans="1:6" ht="15" customHeight="1">
      <c r="A67" s="43" t="str">
        <f>IF(RIGHT('Calculated Variables'!$A42,4)="2021",'Calculated Variables'!$A42,"")</f>
        <v/>
      </c>
      <c r="B67" s="44" t="str">
        <f>IF(RIGHT('Calculated Variables'!$A42,4)="2021",'Calculated Variables'!$B42,"")</f>
        <v/>
      </c>
      <c r="C67" s="44" t="str">
        <f>IF(RIGHT('Calculated Variables'!$A42,4)="2021",'Calculated Variables'!$C42,"")</f>
        <v/>
      </c>
      <c r="D67" s="44" t="str">
        <f>IF(RIGHT('Calculated Variables'!$A42,4)="2021",'Calculated Variables'!$D42,"")</f>
        <v/>
      </c>
      <c r="E67" s="45" t="str">
        <f>IF(RIGHT('Calculated Variables'!$A42,4)="2021",'Calculated Variables'!$E42,"")</f>
        <v/>
      </c>
      <c r="F67" s="44" t="str">
        <f>IF(RIGHT('Calculated Variables'!$A42,4)="2021",'Calculated Variables'!$F42,"")</f>
        <v/>
      </c>
    </row>
    <row r="68" spans="1:6" ht="15" customHeight="1">
      <c r="A68" s="43" t="str">
        <f>IF(RIGHT('Calculated Variables'!$A43,4)="2021",'Calculated Variables'!$A43,"")</f>
        <v/>
      </c>
      <c r="B68" s="44" t="str">
        <f>IF(RIGHT('Calculated Variables'!$A43,4)="2021",'Calculated Variables'!$B43,"")</f>
        <v/>
      </c>
      <c r="C68" s="44" t="str">
        <f>IF(RIGHT('Calculated Variables'!$A43,4)="2021",'Calculated Variables'!$C43,"")</f>
        <v/>
      </c>
      <c r="D68" s="44" t="str">
        <f>IF(RIGHT('Calculated Variables'!$A43,4)="2021",'Calculated Variables'!$D43,"")</f>
        <v/>
      </c>
      <c r="E68" s="45" t="str">
        <f>IF(RIGHT('Calculated Variables'!$A43,4)="2021",'Calculated Variables'!$E43,"")</f>
        <v/>
      </c>
      <c r="F68" s="44" t="str">
        <f>IF(RIGHT('Calculated Variables'!$A43,4)="2021",'Calculated Variables'!$F43,"")</f>
        <v/>
      </c>
    </row>
    <row r="69" spans="1:6" ht="15" customHeight="1">
      <c r="A69" s="43" t="str">
        <f>IF(RIGHT('Calculated Variables'!$A44,4)="2021",'Calculated Variables'!$A44,"")</f>
        <v/>
      </c>
      <c r="B69" s="44" t="str">
        <f>IF(RIGHT('Calculated Variables'!$A44,4)="2021",'Calculated Variables'!$B44,"")</f>
        <v/>
      </c>
      <c r="C69" s="44" t="str">
        <f>IF(RIGHT('Calculated Variables'!$A44,4)="2021",'Calculated Variables'!$C44,"")</f>
        <v/>
      </c>
      <c r="D69" s="44" t="str">
        <f>IF(RIGHT('Calculated Variables'!$A44,4)="2021",'Calculated Variables'!$D44,"")</f>
        <v/>
      </c>
      <c r="E69" s="45" t="str">
        <f>IF(RIGHT('Calculated Variables'!$A44,4)="2021",'Calculated Variables'!$E44,"")</f>
        <v/>
      </c>
      <c r="F69" s="44" t="str">
        <f>IF(RIGHT('Calculated Variables'!$A44,4)="2021",'Calculated Variables'!$F44,"")</f>
        <v/>
      </c>
    </row>
    <row r="70" spans="1:6" ht="15" customHeight="1">
      <c r="A70" s="43" t="str">
        <f>IF(RIGHT('Calculated Variables'!$A45,4)="2021",'Calculated Variables'!$A45,"")</f>
        <v>Kfin Technologies Ltd_2021</v>
      </c>
      <c r="B70" s="44">
        <f>IF(RIGHT('Calculated Variables'!$A45,4)="2021",'Calculated Variables'!$B45,"")</f>
        <v>8.0999999999999996E-3</v>
      </c>
      <c r="C70" s="44">
        <f>IF(RIGHT('Calculated Variables'!$A45,4)="2021",'Calculated Variables'!$C45,"")</f>
        <v>0.31979999999999997</v>
      </c>
      <c r="D70" s="44">
        <f>IF(RIGHT('Calculated Variables'!$A45,4)="2021",'Calculated Variables'!$D45,"")</f>
        <v>-7.0199999999999999E-2</v>
      </c>
      <c r="E70" s="45">
        <f>IF(RIGHT('Calculated Variables'!$A45,4)="2021",'Calculated Variables'!$E45,"")</f>
        <v>6.8232999999999997</v>
      </c>
      <c r="F70" s="44">
        <f>IF(RIGHT('Calculated Variables'!$A45,4)="2021",'Calculated Variables'!$F45,"")</f>
        <v>0.375</v>
      </c>
    </row>
    <row r="71" spans="1:6" ht="15" customHeight="1">
      <c r="A71" s="43" t="str">
        <f>IF(RIGHT('Calculated Variables'!$A46,4)="2021",'Calculated Variables'!$A46,"")</f>
        <v/>
      </c>
      <c r="B71" s="44" t="str">
        <f>IF(RIGHT('Calculated Variables'!$A46,4)="2021",'Calculated Variables'!$B46,"")</f>
        <v/>
      </c>
      <c r="C71" s="44" t="str">
        <f>IF(RIGHT('Calculated Variables'!$A46,4)="2021",'Calculated Variables'!$C46,"")</f>
        <v/>
      </c>
      <c r="D71" s="44" t="str">
        <f>IF(RIGHT('Calculated Variables'!$A46,4)="2021",'Calculated Variables'!$D46,"")</f>
        <v/>
      </c>
      <c r="E71" s="45" t="str">
        <f>IF(RIGHT('Calculated Variables'!$A46,4)="2021",'Calculated Variables'!$E46,"")</f>
        <v/>
      </c>
      <c r="F71" s="44" t="str">
        <f>IF(RIGHT('Calculated Variables'!$A46,4)="2021",'Calculated Variables'!$F46,"")</f>
        <v/>
      </c>
    </row>
    <row r="72" spans="1:6" ht="15" customHeight="1">
      <c r="A72" s="43" t="str">
        <f>IF(RIGHT('Calculated Variables'!$A47,4)="2021",'Calculated Variables'!$A47,"")</f>
        <v/>
      </c>
      <c r="B72" s="44" t="str">
        <f>IF(RIGHT('Calculated Variables'!$A47,4)="2021",'Calculated Variables'!$B47,"")</f>
        <v/>
      </c>
      <c r="C72" s="44" t="str">
        <f>IF(RIGHT('Calculated Variables'!$A47,4)="2021",'Calculated Variables'!$C47,"")</f>
        <v/>
      </c>
      <c r="D72" s="44" t="str">
        <f>IF(RIGHT('Calculated Variables'!$A47,4)="2021",'Calculated Variables'!$D47,"")</f>
        <v/>
      </c>
      <c r="E72" s="45" t="str">
        <f>IF(RIGHT('Calculated Variables'!$A47,4)="2021",'Calculated Variables'!$E47,"")</f>
        <v/>
      </c>
      <c r="F72" s="44" t="str">
        <f>IF(RIGHT('Calculated Variables'!$A47,4)="2021",'Calculated Variables'!$F47,"")</f>
        <v/>
      </c>
    </row>
    <row r="73" spans="1:6" ht="15" customHeight="1">
      <c r="A73" s="43" t="str">
        <f>IF(RIGHT('Calculated Variables'!$A48,4)="2021",'Calculated Variables'!$A48,"")</f>
        <v/>
      </c>
      <c r="B73" s="44" t="str">
        <f>IF(RIGHT('Calculated Variables'!$A48,4)="2021",'Calculated Variables'!$B48,"")</f>
        <v/>
      </c>
      <c r="C73" s="44" t="str">
        <f>IF(RIGHT('Calculated Variables'!$A48,4)="2021",'Calculated Variables'!$C48,"")</f>
        <v/>
      </c>
      <c r="D73" s="44" t="str">
        <f>IF(RIGHT('Calculated Variables'!$A48,4)="2021",'Calculated Variables'!$D48,"")</f>
        <v/>
      </c>
      <c r="E73" s="45" t="str">
        <f>IF(RIGHT('Calculated Variables'!$A48,4)="2021",'Calculated Variables'!$E48,"")</f>
        <v/>
      </c>
      <c r="F73" s="44" t="str">
        <f>IF(RIGHT('Calculated Variables'!$A48,4)="2021",'Calculated Variables'!$F48,"")</f>
        <v/>
      </c>
    </row>
    <row r="74" spans="1:6" ht="15" customHeight="1">
      <c r="A74" s="43" t="str">
        <f>IF(RIGHT('Calculated Variables'!$A49,4)="2021",'Calculated Variables'!$A49,"")</f>
        <v>Intellect Design Arena Ltd_2021</v>
      </c>
      <c r="B74" s="44">
        <f>IF(RIGHT('Calculated Variables'!$A49,4)="2021",'Calculated Variables'!$B49,"")</f>
        <v>4.9799999999999997E-2</v>
      </c>
      <c r="C74" s="44">
        <f>IF(RIGHT('Calculated Variables'!$A49,4)="2021",'Calculated Variables'!$C49,"")</f>
        <v>2.9999999999999997E-4</v>
      </c>
      <c r="D74" s="44">
        <f>IF(RIGHT('Calculated Variables'!$A49,4)="2021",'Calculated Variables'!$D49,"")</f>
        <v>0.1351</v>
      </c>
      <c r="E74" s="45">
        <f>IF(RIGHT('Calculated Variables'!$A49,4)="2021",'Calculated Variables'!$E49,"")</f>
        <v>7.8608000000000002</v>
      </c>
      <c r="F74" s="44">
        <f>IF(RIGHT('Calculated Variables'!$A49,4)="2021",'Calculated Variables'!$F49,"")</f>
        <v>0.5</v>
      </c>
    </row>
    <row r="75" spans="1:6" ht="15" customHeight="1">
      <c r="A75" s="43" t="str">
        <f>IF(RIGHT('Calculated Variables'!$A50,4)="2021",'Calculated Variables'!$A50,"")</f>
        <v/>
      </c>
      <c r="B75" s="44" t="str">
        <f>IF(RIGHT('Calculated Variables'!$A50,4)="2021",'Calculated Variables'!$B50,"")</f>
        <v/>
      </c>
      <c r="C75" s="44" t="str">
        <f>IF(RIGHT('Calculated Variables'!$A50,4)="2021",'Calculated Variables'!$C50,"")</f>
        <v/>
      </c>
      <c r="D75" s="44" t="str">
        <f>IF(RIGHT('Calculated Variables'!$A50,4)="2021",'Calculated Variables'!$D50,"")</f>
        <v/>
      </c>
      <c r="E75" s="45" t="str">
        <f>IF(RIGHT('Calculated Variables'!$A50,4)="2021",'Calculated Variables'!$E50,"")</f>
        <v/>
      </c>
      <c r="F75" s="44" t="str">
        <f>IF(RIGHT('Calculated Variables'!$A50,4)="2021",'Calculated Variables'!$F50,"")</f>
        <v/>
      </c>
    </row>
    <row r="76" spans="1:6" ht="15" customHeight="1">
      <c r="A76" s="43" t="str">
        <f>IF(RIGHT('Calculated Variables'!$A51,4)="2021",'Calculated Variables'!$A51,"")</f>
        <v/>
      </c>
      <c r="B76" s="44" t="str">
        <f>IF(RIGHT('Calculated Variables'!$A51,4)="2021",'Calculated Variables'!$B51,"")</f>
        <v/>
      </c>
      <c r="C76" s="44" t="str">
        <f>IF(RIGHT('Calculated Variables'!$A51,4)="2021",'Calculated Variables'!$C51,"")</f>
        <v/>
      </c>
      <c r="D76" s="44" t="str">
        <f>IF(RIGHT('Calculated Variables'!$A51,4)="2021",'Calculated Variables'!$D51,"")</f>
        <v/>
      </c>
      <c r="E76" s="45" t="str">
        <f>IF(RIGHT('Calculated Variables'!$A51,4)="2021",'Calculated Variables'!$E51,"")</f>
        <v/>
      </c>
      <c r="F76" s="44" t="str">
        <f>IF(RIGHT('Calculated Variables'!$A51,4)="2021",'Calculated Variables'!$F51,"")</f>
        <v/>
      </c>
    </row>
    <row r="77" spans="1:6" ht="15" customHeight="1">
      <c r="A77" s="43" t="str">
        <f>IF(RIGHT('Calculated Variables'!$A52,4)="2021",'Calculated Variables'!$A52,"")</f>
        <v/>
      </c>
      <c r="B77" s="44" t="str">
        <f>IF(RIGHT('Calculated Variables'!$A52,4)="2021",'Calculated Variables'!$B52,"")</f>
        <v/>
      </c>
      <c r="C77" s="44" t="str">
        <f>IF(RIGHT('Calculated Variables'!$A52,4)="2021",'Calculated Variables'!$C52,"")</f>
        <v/>
      </c>
      <c r="D77" s="44" t="str">
        <f>IF(RIGHT('Calculated Variables'!$A52,4)="2021",'Calculated Variables'!$D52,"")</f>
        <v/>
      </c>
      <c r="E77" s="45" t="str">
        <f>IF(RIGHT('Calculated Variables'!$A52,4)="2021",'Calculated Variables'!$E52,"")</f>
        <v/>
      </c>
      <c r="F77" s="44" t="str">
        <f>IF(RIGHT('Calculated Variables'!$A52,4)="2021",'Calculated Variables'!$F52,"")</f>
        <v/>
      </c>
    </row>
    <row r="78" spans="1:6" ht="15" customHeight="1">
      <c r="A78" s="43" t="str">
        <f>IF(RIGHT('Calculated Variables'!$A53,4)="2021",'Calculated Variables'!$A53,"")</f>
        <v>Nucleus Software Exports Ltd_2021</v>
      </c>
      <c r="B78" s="44">
        <f>IF(RIGHT('Calculated Variables'!$A53,4)="2021",'Calculated Variables'!$B53,"")</f>
        <v>3.2899999999999999E-2</v>
      </c>
      <c r="C78" s="44">
        <f>IF(RIGHT('Calculated Variables'!$A53,4)="2021",'Calculated Variables'!$C53,"")</f>
        <v>0</v>
      </c>
      <c r="D78" s="44">
        <f>IF(RIGHT('Calculated Variables'!$A53,4)="2021",'Calculated Variables'!$D53,"")</f>
        <v>5.5500000000000001E-2</v>
      </c>
      <c r="E78" s="45">
        <f>IF(RIGHT('Calculated Variables'!$A53,4)="2021",'Calculated Variables'!$E53,"")</f>
        <v>6.6025</v>
      </c>
      <c r="F78" s="44">
        <f>IF(RIGHT('Calculated Variables'!$A53,4)="2021",'Calculated Variables'!$F53,"")</f>
        <v>0.5</v>
      </c>
    </row>
    <row r="79" spans="1:6" ht="15" customHeight="1">
      <c r="A79" s="43" t="str">
        <f>IF(RIGHT('Calculated Variables'!$A54,4)="2021",'Calculated Variables'!$A54,"")</f>
        <v/>
      </c>
      <c r="B79" s="44" t="str">
        <f>IF(RIGHT('Calculated Variables'!$A54,4)="2021",'Calculated Variables'!$B54,"")</f>
        <v/>
      </c>
      <c r="C79" s="44" t="str">
        <f>IF(RIGHT('Calculated Variables'!$A54,4)="2021",'Calculated Variables'!$C54,"")</f>
        <v/>
      </c>
      <c r="D79" s="44" t="str">
        <f>IF(RIGHT('Calculated Variables'!$A54,4)="2021",'Calculated Variables'!$D54,"")</f>
        <v/>
      </c>
      <c r="E79" s="45" t="str">
        <f>IF(RIGHT('Calculated Variables'!$A54,4)="2021",'Calculated Variables'!$E54,"")</f>
        <v/>
      </c>
      <c r="F79" s="44" t="str">
        <f>IF(RIGHT('Calculated Variables'!$A54,4)="2021",'Calculated Variables'!$F54,"")</f>
        <v/>
      </c>
    </row>
    <row r="80" spans="1:6" ht="15" customHeight="1">
      <c r="A80" s="43" t="str">
        <f>IF(RIGHT('Calculated Variables'!$A55,4)="2021",'Calculated Variables'!$A55,"")</f>
        <v/>
      </c>
      <c r="B80" s="44" t="str">
        <f>IF(RIGHT('Calculated Variables'!$A55,4)="2021",'Calculated Variables'!$B55,"")</f>
        <v/>
      </c>
      <c r="C80" s="44" t="str">
        <f>IF(RIGHT('Calculated Variables'!$A55,4)="2021",'Calculated Variables'!$C55,"")</f>
        <v/>
      </c>
      <c r="D80" s="44" t="str">
        <f>IF(RIGHT('Calculated Variables'!$A55,4)="2021",'Calculated Variables'!$D55,"")</f>
        <v/>
      </c>
      <c r="E80" s="45" t="str">
        <f>IF(RIGHT('Calculated Variables'!$A55,4)="2021",'Calculated Variables'!$E55,"")</f>
        <v/>
      </c>
      <c r="F80" s="44" t="str">
        <f>IF(RIGHT('Calculated Variables'!$A55,4)="2021",'Calculated Variables'!$F55,"")</f>
        <v/>
      </c>
    </row>
    <row r="81" spans="1:6" ht="15" customHeight="1">
      <c r="A81" s="43" t="str">
        <f>IF(RIGHT('Calculated Variables'!$A56,4)="2021",'Calculated Variables'!$A56,"")</f>
        <v/>
      </c>
      <c r="B81" s="44" t="str">
        <f>IF(RIGHT('Calculated Variables'!$A56,4)="2021",'Calculated Variables'!$B56,"")</f>
        <v/>
      </c>
      <c r="C81" s="44" t="str">
        <f>IF(RIGHT('Calculated Variables'!$A56,4)="2021",'Calculated Variables'!$C56,"")</f>
        <v/>
      </c>
      <c r="D81" s="44" t="str">
        <f>IF(RIGHT('Calculated Variables'!$A56,4)="2021",'Calculated Variables'!$D56,"")</f>
        <v/>
      </c>
      <c r="E81" s="45" t="str">
        <f>IF(RIGHT('Calculated Variables'!$A56,4)="2021",'Calculated Variables'!$E56,"")</f>
        <v/>
      </c>
      <c r="F81" s="44" t="str">
        <f>IF(RIGHT('Calculated Variables'!$A56,4)="2021",'Calculated Variables'!$F56,"")</f>
        <v/>
      </c>
    </row>
    <row r="82" spans="1:6" ht="15" customHeight="1">
      <c r="A82" s="43" t="str">
        <f>IF(RIGHT('Calculated Variables'!$A57,4)="2021",'Calculated Variables'!$A57,"")</f>
        <v>Oracle Financial Services Software Ltd_2021</v>
      </c>
      <c r="B82" s="44">
        <f>IF(RIGHT('Calculated Variables'!$A57,4)="2021",'Calculated Variables'!$B57,"")</f>
        <v>4.0000000000000001E-3</v>
      </c>
      <c r="C82" s="44">
        <f>IF(RIGHT('Calculated Variables'!$A57,4)="2021",'Calculated Variables'!$C57,"")</f>
        <v>0</v>
      </c>
      <c r="D82" s="44">
        <f>IF(RIGHT('Calculated Variables'!$A57,4)="2021",'Calculated Variables'!$D57,"")</f>
        <v>0.2162</v>
      </c>
      <c r="E82" s="45">
        <f>IF(RIGHT('Calculated Variables'!$A57,4)="2021",'Calculated Variables'!$E57,"")</f>
        <v>9.0751000000000008</v>
      </c>
      <c r="F82" s="44">
        <f>IF(RIGHT('Calculated Variables'!$A57,4)="2021",'Calculated Variables'!$F57,"")</f>
        <v>0.4</v>
      </c>
    </row>
    <row r="83" spans="1:6" ht="15" customHeight="1">
      <c r="A83" s="43" t="str">
        <f>IF(RIGHT('Calculated Variables'!$A58,4)="2021",'Calculated Variables'!$A58,"")</f>
        <v/>
      </c>
      <c r="B83" s="44" t="str">
        <f>IF(RIGHT('Calculated Variables'!$A58,4)="2021",'Calculated Variables'!$B58,"")</f>
        <v/>
      </c>
      <c r="C83" s="44" t="str">
        <f>IF(RIGHT('Calculated Variables'!$A58,4)="2021",'Calculated Variables'!$C58,"")</f>
        <v/>
      </c>
      <c r="D83" s="44" t="str">
        <f>IF(RIGHT('Calculated Variables'!$A58,4)="2021",'Calculated Variables'!$D58,"")</f>
        <v/>
      </c>
      <c r="E83" s="45" t="str">
        <f>IF(RIGHT('Calculated Variables'!$A58,4)="2021",'Calculated Variables'!$E58,"")</f>
        <v/>
      </c>
      <c r="F83" s="44" t="str">
        <f>IF(RIGHT('Calculated Variables'!$A58,4)="2021",'Calculated Variables'!$F58,"")</f>
        <v/>
      </c>
    </row>
    <row r="84" spans="1:6" ht="15" customHeight="1">
      <c r="A84" s="43" t="str">
        <f>IF(RIGHT('Calculated Variables'!$A59,4)="2021",'Calculated Variables'!$A59,"")</f>
        <v/>
      </c>
      <c r="B84" s="44" t="str">
        <f>IF(RIGHT('Calculated Variables'!$A59,4)="2021",'Calculated Variables'!$B59,"")</f>
        <v/>
      </c>
      <c r="C84" s="44" t="str">
        <f>IF(RIGHT('Calculated Variables'!$A59,4)="2021",'Calculated Variables'!$C59,"")</f>
        <v/>
      </c>
      <c r="D84" s="44" t="str">
        <f>IF(RIGHT('Calculated Variables'!$A59,4)="2021",'Calculated Variables'!$D59,"")</f>
        <v/>
      </c>
      <c r="E84" s="45" t="str">
        <f>IF(RIGHT('Calculated Variables'!$A59,4)="2021",'Calculated Variables'!$E59,"")</f>
        <v/>
      </c>
      <c r="F84" s="44" t="str">
        <f>IF(RIGHT('Calculated Variables'!$A59,4)="2021",'Calculated Variables'!$F59,"")</f>
        <v/>
      </c>
    </row>
    <row r="85" spans="1:6" ht="15" customHeight="1">
      <c r="A85" s="43" t="str">
        <f>IF(RIGHT('Calculated Variables'!$A60,4)="2021",'Calculated Variables'!$A60,"")</f>
        <v/>
      </c>
      <c r="B85" s="44" t="str">
        <f>IF(RIGHT('Calculated Variables'!$A60,4)="2021",'Calculated Variables'!$B60,"")</f>
        <v/>
      </c>
      <c r="C85" s="44" t="str">
        <f>IF(RIGHT('Calculated Variables'!$A60,4)="2021",'Calculated Variables'!$C60,"")</f>
        <v/>
      </c>
      <c r="D85" s="44" t="str">
        <f>IF(RIGHT('Calculated Variables'!$A60,4)="2021",'Calculated Variables'!$D60,"")</f>
        <v/>
      </c>
      <c r="E85" s="45" t="str">
        <f>IF(RIGHT('Calculated Variables'!$A60,4)="2021",'Calculated Variables'!$E60,"")</f>
        <v/>
      </c>
      <c r="F85" s="44" t="str">
        <f>IF(RIGHT('Calculated Variables'!$A60,4)="2021",'Calculated Variables'!$F60,"")</f>
        <v/>
      </c>
    </row>
    <row r="86" spans="1:6" ht="15" customHeight="1">
      <c r="A86" s="43" t="str">
        <f>IF(RIGHT('Calculated Variables'!$A61,4)="2021",'Calculated Variables'!$A61,"")</f>
        <v>63 Moons Technologies Ltd_2021</v>
      </c>
      <c r="B86" s="44">
        <f>IF(RIGHT('Calculated Variables'!$A61,4)="2021",'Calculated Variables'!$B61,"")</f>
        <v>1.4500000000000001E-2</v>
      </c>
      <c r="C86" s="44">
        <f>IF(RIGHT('Calculated Variables'!$A61,4)="2021",'Calculated Variables'!$C61,"")</f>
        <v>0</v>
      </c>
      <c r="D86" s="44">
        <f>IF(RIGHT('Calculated Variables'!$A61,4)="2021",'Calculated Variables'!$D61,"")</f>
        <v>-1.9E-2</v>
      </c>
      <c r="E86" s="45">
        <f>IF(RIGHT('Calculated Variables'!$A61,4)="2021",'Calculated Variables'!$E61,"")</f>
        <v>8.1153999999999993</v>
      </c>
      <c r="F86" s="44">
        <f>IF(RIGHT('Calculated Variables'!$A61,4)="2021",'Calculated Variables'!$F61,"")</f>
        <v>0.35709999999999997</v>
      </c>
    </row>
    <row r="87" spans="1:6" ht="15" customHeight="1">
      <c r="A87" s="43" t="str">
        <f>IF(RIGHT('Calculated Variables'!$A62,4)="2021",'Calculated Variables'!$A62,"")</f>
        <v/>
      </c>
      <c r="B87" s="44" t="str">
        <f>IF(RIGHT('Calculated Variables'!$A62,4)="2021",'Calculated Variables'!$B62,"")</f>
        <v/>
      </c>
      <c r="C87" s="44" t="str">
        <f>IF(RIGHT('Calculated Variables'!$A62,4)="2021",'Calculated Variables'!$C62,"")</f>
        <v/>
      </c>
      <c r="D87" s="44" t="str">
        <f>IF(RIGHT('Calculated Variables'!$A62,4)="2021",'Calculated Variables'!$D62,"")</f>
        <v/>
      </c>
      <c r="E87" s="45" t="str">
        <f>IF(RIGHT('Calculated Variables'!$A62,4)="2021",'Calculated Variables'!$E62,"")</f>
        <v/>
      </c>
      <c r="F87" s="44" t="str">
        <f>IF(RIGHT('Calculated Variables'!$A62,4)="2021",'Calculated Variables'!$F62,"")</f>
        <v/>
      </c>
    </row>
    <row r="88" spans="1:6" ht="15" customHeight="1">
      <c r="A88" s="43" t="str">
        <f>IF(RIGHT('Calculated Variables'!$A63,4)="2021",'Calculated Variables'!$A63,"")</f>
        <v/>
      </c>
      <c r="B88" s="44" t="str">
        <f>IF(RIGHT('Calculated Variables'!$A63,4)="2021",'Calculated Variables'!$B63,"")</f>
        <v/>
      </c>
      <c r="C88" s="44" t="str">
        <f>IF(RIGHT('Calculated Variables'!$A63,4)="2021",'Calculated Variables'!$C63,"")</f>
        <v/>
      </c>
      <c r="D88" s="44" t="str">
        <f>IF(RIGHT('Calculated Variables'!$A63,4)="2021",'Calculated Variables'!$D63,"")</f>
        <v/>
      </c>
      <c r="E88" s="45" t="str">
        <f>IF(RIGHT('Calculated Variables'!$A63,4)="2021",'Calculated Variables'!$E63,"")</f>
        <v/>
      </c>
      <c r="F88" s="44" t="str">
        <f>IF(RIGHT('Calculated Variables'!$A63,4)="2021",'Calculated Variables'!$F63,"")</f>
        <v/>
      </c>
    </row>
    <row r="89" spans="1:6" ht="15" customHeight="1">
      <c r="A89" s="43" t="str">
        <f>IF(RIGHT('Calculated Variables'!$A64,4)="2021",'Calculated Variables'!$A64,"")</f>
        <v/>
      </c>
      <c r="B89" s="44" t="str">
        <f>IF(RIGHT('Calculated Variables'!$A64,4)="2021",'Calculated Variables'!$B64,"")</f>
        <v/>
      </c>
      <c r="C89" s="44" t="str">
        <f>IF(RIGHT('Calculated Variables'!$A64,4)="2021",'Calculated Variables'!$C64,"")</f>
        <v/>
      </c>
      <c r="D89" s="44" t="str">
        <f>IF(RIGHT('Calculated Variables'!$A64,4)="2021",'Calculated Variables'!$D64,"")</f>
        <v/>
      </c>
      <c r="E89" s="45" t="str">
        <f>IF(RIGHT('Calculated Variables'!$A64,4)="2021",'Calculated Variables'!$E64,"")</f>
        <v/>
      </c>
      <c r="F89" s="44" t="str">
        <f>IF(RIGHT('Calculated Variables'!$A64,4)="2021",'Calculated Variables'!$F64,"")</f>
        <v/>
      </c>
    </row>
    <row r="90" spans="1:6" ht="15" customHeight="1">
      <c r="A90" s="43" t="str">
        <f>IF(RIGHT('Calculated Variables'!$A65,4)="2021",'Calculated Variables'!$A65,"")</f>
        <v>Route Mobile Ltd_2021</v>
      </c>
      <c r="B90" s="44">
        <f>IF(RIGHT('Calculated Variables'!$A65,4)="2021",'Calculated Variables'!$B65,"")</f>
        <v>7.4999999999999997E-3</v>
      </c>
      <c r="C90" s="44">
        <f>IF(RIGHT('Calculated Variables'!$A65,4)="2021",'Calculated Variables'!$C65,"")</f>
        <v>3.8999999999999998E-3</v>
      </c>
      <c r="D90" s="44">
        <f>IF(RIGHT('Calculated Variables'!$A65,4)="2021",'Calculated Variables'!$D65,"")</f>
        <v>0.12989999999999999</v>
      </c>
      <c r="E90" s="45">
        <f>IF(RIGHT('Calculated Variables'!$A65,4)="2021",'Calculated Variables'!$E65,"")</f>
        <v>6.9295999999999998</v>
      </c>
      <c r="F90" s="44">
        <f>IF(RIGHT('Calculated Variables'!$A65,4)="2021",'Calculated Variables'!$F65,"")</f>
        <v>0.57140000000000002</v>
      </c>
    </row>
    <row r="91" spans="1:6" ht="15" customHeight="1">
      <c r="A91" s="43" t="str">
        <f>IF(RIGHT('Calculated Variables'!$A66,4)="2021",'Calculated Variables'!$A66,"")</f>
        <v/>
      </c>
      <c r="B91" s="44" t="str">
        <f>IF(RIGHT('Calculated Variables'!$A66,4)="2021",'Calculated Variables'!$B66,"")</f>
        <v/>
      </c>
      <c r="C91" s="44" t="str">
        <f>IF(RIGHT('Calculated Variables'!$A66,4)="2021",'Calculated Variables'!$C66,"")</f>
        <v/>
      </c>
      <c r="D91" s="44" t="str">
        <f>IF(RIGHT('Calculated Variables'!$A66,4)="2021",'Calculated Variables'!$D66,"")</f>
        <v/>
      </c>
      <c r="E91" s="45" t="str">
        <f>IF(RIGHT('Calculated Variables'!$A66,4)="2021",'Calculated Variables'!$E66,"")</f>
        <v/>
      </c>
      <c r="F91" s="44" t="str">
        <f>IF(RIGHT('Calculated Variables'!$A66,4)="2021",'Calculated Variables'!$F66,"")</f>
        <v/>
      </c>
    </row>
    <row r="92" spans="1:6" ht="15" customHeight="1">
      <c r="A92" s="43" t="str">
        <f>IF(RIGHT('Calculated Variables'!$A67,4)="2021",'Calculated Variables'!$A67,"")</f>
        <v/>
      </c>
      <c r="B92" s="44" t="str">
        <f>IF(RIGHT('Calculated Variables'!$A67,4)="2021",'Calculated Variables'!$B67,"")</f>
        <v/>
      </c>
      <c r="C92" s="44" t="str">
        <f>IF(RIGHT('Calculated Variables'!$A67,4)="2021",'Calculated Variables'!$C67,"")</f>
        <v/>
      </c>
      <c r="D92" s="44" t="str">
        <f>IF(RIGHT('Calculated Variables'!$A67,4)="2021",'Calculated Variables'!$D67,"")</f>
        <v/>
      </c>
      <c r="E92" s="45" t="str">
        <f>IF(RIGHT('Calculated Variables'!$A67,4)="2021",'Calculated Variables'!$E67,"")</f>
        <v/>
      </c>
      <c r="F92" s="44" t="str">
        <f>IF(RIGHT('Calculated Variables'!$A67,4)="2021",'Calculated Variables'!$F67,"")</f>
        <v/>
      </c>
    </row>
    <row r="93" spans="1:6" ht="15" customHeight="1">
      <c r="A93" s="43" t="str">
        <f>IF(RIGHT('Calculated Variables'!$A68,4)="2021",'Calculated Variables'!$A68,"")</f>
        <v/>
      </c>
      <c r="B93" s="44" t="str">
        <f>IF(RIGHT('Calculated Variables'!$A68,4)="2021",'Calculated Variables'!$B68,"")</f>
        <v/>
      </c>
      <c r="C93" s="44" t="str">
        <f>IF(RIGHT('Calculated Variables'!$A68,4)="2021",'Calculated Variables'!$C68,"")</f>
        <v/>
      </c>
      <c r="D93" s="44" t="str">
        <f>IF(RIGHT('Calculated Variables'!$A68,4)="2021",'Calculated Variables'!$D68,"")</f>
        <v/>
      </c>
      <c r="E93" s="45" t="str">
        <f>IF(RIGHT('Calculated Variables'!$A68,4)="2021",'Calculated Variables'!$E68,"")</f>
        <v/>
      </c>
      <c r="F93" s="44" t="str">
        <f>IF(RIGHT('Calculated Variables'!$A68,4)="2021",'Calculated Variables'!$F68,"")</f>
        <v/>
      </c>
    </row>
    <row r="94" spans="1:6" ht="15" customHeight="1">
      <c r="A94" s="43" t="str">
        <f>IF(RIGHT('Calculated Variables'!$A69,4)="2021",'Calculated Variables'!$A69,"")</f>
        <v>IIFL Securities Ltd_2021</v>
      </c>
      <c r="B94" s="44">
        <f>IF(RIGHT('Calculated Variables'!$A69,4)="2021",'Calculated Variables'!$B69,"")</f>
        <v>4.2999999999999997E-2</v>
      </c>
      <c r="C94" s="44">
        <f>IF(RIGHT('Calculated Variables'!$A69,4)="2021",'Calculated Variables'!$C69,"")</f>
        <v>8.2299999999999998E-2</v>
      </c>
      <c r="D94" s="44">
        <f>IF(RIGHT('Calculated Variables'!$A69,4)="2021",'Calculated Variables'!$D69,"")</f>
        <v>6.2199999999999998E-2</v>
      </c>
      <c r="E94" s="45">
        <f>IF(RIGHT('Calculated Variables'!$A69,4)="2021",'Calculated Variables'!$E69,"")</f>
        <v>8.173</v>
      </c>
      <c r="F94" s="44">
        <f>IF(RIGHT('Calculated Variables'!$A69,4)="2021",'Calculated Variables'!$F69,"")</f>
        <v>0.66669999999999996</v>
      </c>
    </row>
    <row r="95" spans="1:6" ht="15" customHeight="1">
      <c r="A95" s="43" t="str">
        <f>IF(RIGHT('Calculated Variables'!$A70,4)="2021",'Calculated Variables'!$A70,"")</f>
        <v/>
      </c>
      <c r="B95" s="44" t="str">
        <f>IF(RIGHT('Calculated Variables'!$A70,4)="2021",'Calculated Variables'!$B70,"")</f>
        <v/>
      </c>
      <c r="C95" s="44" t="str">
        <f>IF(RIGHT('Calculated Variables'!$A70,4)="2021",'Calculated Variables'!$C70,"")</f>
        <v/>
      </c>
      <c r="D95" s="44" t="str">
        <f>IF(RIGHT('Calculated Variables'!$A70,4)="2021",'Calculated Variables'!$D70,"")</f>
        <v/>
      </c>
      <c r="E95" s="45" t="str">
        <f>IF(RIGHT('Calculated Variables'!$A70,4)="2021",'Calculated Variables'!$E70,"")</f>
        <v/>
      </c>
      <c r="F95" s="44" t="str">
        <f>IF(RIGHT('Calculated Variables'!$A70,4)="2021",'Calculated Variables'!$F70,"")</f>
        <v/>
      </c>
    </row>
    <row r="96" spans="1:6" ht="15" customHeight="1">
      <c r="A96" s="43" t="str">
        <f>IF(RIGHT('Calculated Variables'!$A71,4)="2021",'Calculated Variables'!$A71,"")</f>
        <v/>
      </c>
      <c r="B96" s="44" t="str">
        <f>IF(RIGHT('Calculated Variables'!$A71,4)="2021",'Calculated Variables'!$B71,"")</f>
        <v/>
      </c>
      <c r="C96" s="44" t="str">
        <f>IF(RIGHT('Calculated Variables'!$A71,4)="2021",'Calculated Variables'!$C71,"")</f>
        <v/>
      </c>
      <c r="D96" s="44" t="str">
        <f>IF(RIGHT('Calculated Variables'!$A71,4)="2021",'Calculated Variables'!$D71,"")</f>
        <v/>
      </c>
      <c r="E96" s="45" t="str">
        <f>IF(RIGHT('Calculated Variables'!$A71,4)="2021",'Calculated Variables'!$E71,"")</f>
        <v/>
      </c>
      <c r="F96" s="44" t="str">
        <f>IF(RIGHT('Calculated Variables'!$A71,4)="2021",'Calculated Variables'!$F71,"")</f>
        <v/>
      </c>
    </row>
    <row r="97" spans="1:6" ht="15" customHeight="1">
      <c r="A97" s="43" t="str">
        <f>IF(RIGHT('Calculated Variables'!$A72,4)="2021",'Calculated Variables'!$A72,"")</f>
        <v/>
      </c>
      <c r="B97" s="44" t="str">
        <f>IF(RIGHT('Calculated Variables'!$A72,4)="2021",'Calculated Variables'!$B72,"")</f>
        <v/>
      </c>
      <c r="C97" s="44" t="str">
        <f>IF(RIGHT('Calculated Variables'!$A72,4)="2021",'Calculated Variables'!$C72,"")</f>
        <v/>
      </c>
      <c r="D97" s="44" t="str">
        <f>IF(RIGHT('Calculated Variables'!$A72,4)="2021",'Calculated Variables'!$D72,"")</f>
        <v/>
      </c>
      <c r="E97" s="45" t="str">
        <f>IF(RIGHT('Calculated Variables'!$A72,4)="2021",'Calculated Variables'!$E72,"")</f>
        <v/>
      </c>
      <c r="F97" s="44" t="str">
        <f>IF(RIGHT('Calculated Variables'!$A72,4)="2021",'Calculated Variables'!$F72,"")</f>
        <v/>
      </c>
    </row>
    <row r="98" spans="1:6" ht="15" customHeight="1">
      <c r="A98" s="43" t="str">
        <f>IF(RIGHT('Calculated Variables'!$A73,4)="2021",'Calculated Variables'!$A73,"")</f>
        <v>Motilal Oswal Financial Services Ltd_2021</v>
      </c>
      <c r="B98" s="44">
        <f>IF(RIGHT('Calculated Variables'!$A73,4)="2021",'Calculated Variables'!$B73,"")</f>
        <v>4.5999999999999999E-3</v>
      </c>
      <c r="C98" s="44">
        <f>IF(RIGHT('Calculated Variables'!$A73,4)="2021",'Calculated Variables'!$C73,"")</f>
        <v>0.40329999999999999</v>
      </c>
      <c r="D98" s="44">
        <f>IF(RIGHT('Calculated Variables'!$A73,4)="2021",'Calculated Variables'!$D73,"")</f>
        <v>8.8200000000000001E-2</v>
      </c>
      <c r="E98" s="45">
        <f>IF(RIGHT('Calculated Variables'!$A73,4)="2021",'Calculated Variables'!$E73,"")</f>
        <v>9.5550999999999995</v>
      </c>
      <c r="F98" s="44">
        <f>IF(RIGHT('Calculated Variables'!$A73,4)="2021",'Calculated Variables'!$F73,"")</f>
        <v>0.5</v>
      </c>
    </row>
    <row r="99" spans="1:6" ht="15" customHeight="1">
      <c r="A99" s="43" t="str">
        <f>IF(RIGHT('Calculated Variables'!$A74,4)="2021",'Calculated Variables'!$A74,"")</f>
        <v/>
      </c>
      <c r="B99" s="44" t="str">
        <f>IF(RIGHT('Calculated Variables'!$A74,4)="2021",'Calculated Variables'!$B74,"")</f>
        <v/>
      </c>
      <c r="C99" s="44" t="str">
        <f>IF(RIGHT('Calculated Variables'!$A74,4)="2021",'Calculated Variables'!$C74,"")</f>
        <v/>
      </c>
      <c r="D99" s="44" t="str">
        <f>IF(RIGHT('Calculated Variables'!$A74,4)="2021",'Calculated Variables'!$D74,"")</f>
        <v/>
      </c>
      <c r="E99" s="45" t="str">
        <f>IF(RIGHT('Calculated Variables'!$A74,4)="2021",'Calculated Variables'!$E74,"")</f>
        <v/>
      </c>
      <c r="F99" s="44" t="str">
        <f>IF(RIGHT('Calculated Variables'!$A74,4)="2021",'Calculated Variables'!$F74,"")</f>
        <v/>
      </c>
    </row>
    <row r="100" spans="1:6" ht="15" customHeight="1">
      <c r="A100" s="43" t="str">
        <f>IF(RIGHT('Calculated Variables'!$A75,4)="2021",'Calculated Variables'!$A75,"")</f>
        <v/>
      </c>
      <c r="B100" s="44" t="str">
        <f>IF(RIGHT('Calculated Variables'!$A75,4)="2021",'Calculated Variables'!$B75,"")</f>
        <v/>
      </c>
      <c r="C100" s="44" t="str">
        <f>IF(RIGHT('Calculated Variables'!$A75,4)="2021",'Calculated Variables'!$C75,"")</f>
        <v/>
      </c>
      <c r="D100" s="44" t="str">
        <f>IF(RIGHT('Calculated Variables'!$A75,4)="2021",'Calculated Variables'!$D75,"")</f>
        <v/>
      </c>
      <c r="E100" s="45" t="str">
        <f>IF(RIGHT('Calculated Variables'!$A75,4)="2021",'Calculated Variables'!$E75,"")</f>
        <v/>
      </c>
      <c r="F100" s="44" t="str">
        <f>IF(RIGHT('Calculated Variables'!$A75,4)="2021",'Calculated Variables'!$F75,"")</f>
        <v/>
      </c>
    </row>
    <row r="101" spans="1:6" ht="15" customHeight="1">
      <c r="A101" s="43" t="str">
        <f>IF(RIGHT('Calculated Variables'!$A76,4)="2021",'Calculated Variables'!$A76,"")</f>
        <v/>
      </c>
      <c r="B101" s="44" t="str">
        <f>IF(RIGHT('Calculated Variables'!$A76,4)="2021",'Calculated Variables'!$B76,"")</f>
        <v/>
      </c>
      <c r="C101" s="44" t="str">
        <f>IF(RIGHT('Calculated Variables'!$A76,4)="2021",'Calculated Variables'!$C76,"")</f>
        <v/>
      </c>
      <c r="D101" s="44" t="str">
        <f>IF(RIGHT('Calculated Variables'!$A76,4)="2021",'Calculated Variables'!$D76,"")</f>
        <v/>
      </c>
      <c r="E101" s="45" t="str">
        <f>IF(RIGHT('Calculated Variables'!$A76,4)="2021",'Calculated Variables'!$E76,"")</f>
        <v/>
      </c>
      <c r="F101" s="44" t="str">
        <f>IF(RIGHT('Calculated Variables'!$A76,4)="2021",'Calculated Variables'!$F76,"")</f>
        <v/>
      </c>
    </row>
    <row r="102" spans="1:6" ht="15" customHeight="1">
      <c r="A102" s="43" t="str">
        <f>IF(RIGHT('Calculated Variables'!$A77,4)="2021",'Calculated Variables'!$A77,"")</f>
        <v>Geojit Financial Services Ltd_2021</v>
      </c>
      <c r="B102" s="44">
        <f>IF(RIGHT('Calculated Variables'!$A77,4)="2021",'Calculated Variables'!$B77,"")</f>
        <v>6.4999999999999997E-3</v>
      </c>
      <c r="C102" s="44">
        <f>IF(RIGHT('Calculated Variables'!$A77,4)="2021",'Calculated Variables'!$C77,"")</f>
        <v>1.2800000000000001E-2</v>
      </c>
      <c r="D102" s="44">
        <f>IF(RIGHT('Calculated Variables'!$A77,4)="2021",'Calculated Variables'!$D77,"")</f>
        <v>0.1084</v>
      </c>
      <c r="E102" s="45">
        <f>IF(RIGHT('Calculated Variables'!$A77,4)="2021",'Calculated Variables'!$E77,"")</f>
        <v>7.0625999999999998</v>
      </c>
      <c r="F102" s="44">
        <f>IF(RIGHT('Calculated Variables'!$A77,4)="2021",'Calculated Variables'!$F77,"")</f>
        <v>0.5</v>
      </c>
    </row>
    <row r="103" spans="1:6" ht="15" customHeight="1">
      <c r="A103" s="43" t="str">
        <f>IF(RIGHT('Calculated Variables'!$A78,4)="2021",'Calculated Variables'!$A78,"")</f>
        <v/>
      </c>
      <c r="B103" s="44" t="str">
        <f>IF(RIGHT('Calculated Variables'!$A78,4)="2021",'Calculated Variables'!$B78,"")</f>
        <v/>
      </c>
      <c r="C103" s="44" t="str">
        <f>IF(RIGHT('Calculated Variables'!$A78,4)="2021",'Calculated Variables'!$C78,"")</f>
        <v/>
      </c>
      <c r="D103" s="44" t="str">
        <f>IF(RIGHT('Calculated Variables'!$A78,4)="2021",'Calculated Variables'!$D78,"")</f>
        <v/>
      </c>
      <c r="E103" s="45" t="str">
        <f>IF(RIGHT('Calculated Variables'!$A78,4)="2021",'Calculated Variables'!$E78,"")</f>
        <v/>
      </c>
      <c r="F103" s="44" t="str">
        <f>IF(RIGHT('Calculated Variables'!$A78,4)="2021",'Calculated Variables'!$F78,"")</f>
        <v/>
      </c>
    </row>
    <row r="104" spans="1:6" ht="15" customHeight="1">
      <c r="A104" s="43" t="str">
        <f>IF(RIGHT('Calculated Variables'!$A79,4)="2021",'Calculated Variables'!$A79,"")</f>
        <v/>
      </c>
      <c r="B104" s="44" t="str">
        <f>IF(RIGHT('Calculated Variables'!$A79,4)="2021",'Calculated Variables'!$B79,"")</f>
        <v/>
      </c>
      <c r="C104" s="44" t="str">
        <f>IF(RIGHT('Calculated Variables'!$A79,4)="2021",'Calculated Variables'!$C79,"")</f>
        <v/>
      </c>
      <c r="D104" s="44" t="str">
        <f>IF(RIGHT('Calculated Variables'!$A79,4)="2021",'Calculated Variables'!$D79,"")</f>
        <v/>
      </c>
      <c r="E104" s="45" t="str">
        <f>IF(RIGHT('Calculated Variables'!$A79,4)="2021",'Calculated Variables'!$E79,"")</f>
        <v/>
      </c>
      <c r="F104" s="44" t="str">
        <f>IF(RIGHT('Calculated Variables'!$A79,4)="2021",'Calculated Variables'!$F79,"")</f>
        <v/>
      </c>
    </row>
    <row r="105" spans="1:6" ht="15" customHeight="1">
      <c r="A105" s="43" t="str">
        <f>IF(RIGHT('Calculated Variables'!$A80,4)="2021",'Calculated Variables'!$A80,"")</f>
        <v/>
      </c>
      <c r="B105" s="44" t="str">
        <f>IF(RIGHT('Calculated Variables'!$A80,4)="2021",'Calculated Variables'!$B80,"")</f>
        <v/>
      </c>
      <c r="C105" s="44" t="str">
        <f>IF(RIGHT('Calculated Variables'!$A80,4)="2021",'Calculated Variables'!$C80,"")</f>
        <v/>
      </c>
      <c r="D105" s="44" t="str">
        <f>IF(RIGHT('Calculated Variables'!$A80,4)="2021",'Calculated Variables'!$D80,"")</f>
        <v/>
      </c>
      <c r="E105" s="45" t="str">
        <f>IF(RIGHT('Calculated Variables'!$A80,4)="2021",'Calculated Variables'!$E80,"")</f>
        <v/>
      </c>
      <c r="F105" s="44" t="str">
        <f>IF(RIGHT('Calculated Variables'!$A80,4)="2021",'Calculated Variables'!$F80,"")</f>
        <v/>
      </c>
    </row>
    <row r="106" spans="1:6" ht="15" customHeight="1">
      <c r="A106" s="43" t="str">
        <f>IF(RIGHT('Calculated Variables'!$A81,4)="2021",'Calculated Variables'!$A81,"")</f>
        <v>Anand Rathi Wealth Ltd_2021</v>
      </c>
      <c r="B106" s="44">
        <f>IF(RIGHT('Calculated Variables'!$A81,4)="2021",'Calculated Variables'!$B81,"")</f>
        <v>1.1900000000000001E-2</v>
      </c>
      <c r="C106" s="44">
        <f>IF(RIGHT('Calculated Variables'!$A81,4)="2021",'Calculated Variables'!$C81,"")</f>
        <v>9.8199999999999996E-2</v>
      </c>
      <c r="D106" s="44">
        <f>IF(RIGHT('Calculated Variables'!$A81,4)="2021",'Calculated Variables'!$D81,"")</f>
        <v>0.1313</v>
      </c>
      <c r="E106" s="45">
        <f>IF(RIGHT('Calculated Variables'!$A81,4)="2021",'Calculated Variables'!$E81,"")</f>
        <v>5.8281999999999998</v>
      </c>
      <c r="F106" s="44">
        <f>IF(RIGHT('Calculated Variables'!$A81,4)="2021",'Calculated Variables'!$F81,"")</f>
        <v>0.5</v>
      </c>
    </row>
    <row r="107" spans="1:6" ht="15" customHeight="1">
      <c r="A107" s="43" t="str">
        <f>IF(RIGHT('Calculated Variables'!$A82,4)="2021",'Calculated Variables'!$A82,"")</f>
        <v/>
      </c>
      <c r="B107" s="44" t="str">
        <f>IF(RIGHT('Calculated Variables'!$A82,4)="2021",'Calculated Variables'!$B82,"")</f>
        <v/>
      </c>
      <c r="C107" s="44" t="str">
        <f>IF(RIGHT('Calculated Variables'!$A82,4)="2021",'Calculated Variables'!$C82,"")</f>
        <v/>
      </c>
      <c r="D107" s="44" t="str">
        <f>IF(RIGHT('Calculated Variables'!$A82,4)="2021",'Calculated Variables'!$D82,"")</f>
        <v/>
      </c>
      <c r="E107" s="45" t="str">
        <f>IF(RIGHT('Calculated Variables'!$A82,4)="2021",'Calculated Variables'!$E82,"")</f>
        <v/>
      </c>
      <c r="F107" s="44" t="str">
        <f>IF(RIGHT('Calculated Variables'!$A82,4)="2021",'Calculated Variables'!$F82,"")</f>
        <v/>
      </c>
    </row>
    <row r="108" spans="1:6" ht="15" customHeight="1">
      <c r="A108" s="43" t="str">
        <f>IF(RIGHT('Calculated Variables'!$A83,4)="2021",'Calculated Variables'!$A83,"")</f>
        <v/>
      </c>
      <c r="B108" s="44" t="str">
        <f>IF(RIGHT('Calculated Variables'!$A83,4)="2021",'Calculated Variables'!$B83,"")</f>
        <v/>
      </c>
      <c r="C108" s="44" t="str">
        <f>IF(RIGHT('Calculated Variables'!$A83,4)="2021",'Calculated Variables'!$C83,"")</f>
        <v/>
      </c>
      <c r="D108" s="44" t="str">
        <f>IF(RIGHT('Calculated Variables'!$A83,4)="2021",'Calculated Variables'!$D83,"")</f>
        <v/>
      </c>
      <c r="E108" s="45" t="str">
        <f>IF(RIGHT('Calculated Variables'!$A83,4)="2021",'Calculated Variables'!$E83,"")</f>
        <v/>
      </c>
      <c r="F108" s="44" t="str">
        <f>IF(RIGHT('Calculated Variables'!$A83,4)="2021",'Calculated Variables'!$F83,"")</f>
        <v/>
      </c>
    </row>
    <row r="109" spans="1:6" ht="15" customHeight="1">
      <c r="A109" s="43" t="str">
        <f>IF(RIGHT('Calculated Variables'!$A84,4)="2021",'Calculated Variables'!$A84,"")</f>
        <v/>
      </c>
      <c r="B109" s="44" t="str">
        <f>IF(RIGHT('Calculated Variables'!$A84,4)="2021",'Calculated Variables'!$B84,"")</f>
        <v/>
      </c>
      <c r="C109" s="44" t="str">
        <f>IF(RIGHT('Calculated Variables'!$A84,4)="2021",'Calculated Variables'!$C84,"")</f>
        <v/>
      </c>
      <c r="D109" s="44" t="str">
        <f>IF(RIGHT('Calculated Variables'!$A84,4)="2021",'Calculated Variables'!$D84,"")</f>
        <v/>
      </c>
      <c r="E109" s="45" t="str">
        <f>IF(RIGHT('Calculated Variables'!$A84,4)="2021",'Calculated Variables'!$E84,"")</f>
        <v/>
      </c>
      <c r="F109" s="44" t="str">
        <f>IF(RIGHT('Calculated Variables'!$A84,4)="2021",'Calculated Variables'!$F84,"")</f>
        <v/>
      </c>
    </row>
    <row r="110" spans="1:6" ht="15" customHeight="1">
      <c r="A110" s="43" t="str">
        <f>IF(RIGHT('Calculated Variables'!$A85,4)="2021",'Calculated Variables'!$A85,"")</f>
        <v>SBI Cards and Payment Services Ltd_2021</v>
      </c>
      <c r="B110" s="44">
        <f>IF(RIGHT('Calculated Variables'!$A85,4)="2021",'Calculated Variables'!$B85,"")</f>
        <v>2.0999999999999999E-3</v>
      </c>
      <c r="C110" s="44">
        <f>IF(RIGHT('Calculated Variables'!$A85,4)="2021",'Calculated Variables'!$C85,"")</f>
        <v>0.66249999999999998</v>
      </c>
      <c r="D110" s="44">
        <f>IF(RIGHT('Calculated Variables'!$A85,4)="2021",'Calculated Variables'!$D85,"")</f>
        <v>3.6400000000000002E-2</v>
      </c>
      <c r="E110" s="45">
        <f>IF(RIGHT('Calculated Variables'!$A85,4)="2021",'Calculated Variables'!$E85,"")</f>
        <v>10.2041</v>
      </c>
      <c r="F110" s="44">
        <f>IF(RIGHT('Calculated Variables'!$A85,4)="2021",'Calculated Variables'!$F85,"")</f>
        <v>0.55559999999999998</v>
      </c>
    </row>
    <row r="111" spans="1:6" ht="15" customHeight="1">
      <c r="A111" s="43" t="str">
        <f>IF(RIGHT('Calculated Variables'!$A86,4)="2021",'Calculated Variables'!$A86,"")</f>
        <v/>
      </c>
      <c r="B111" s="44" t="str">
        <f>IF(RIGHT('Calculated Variables'!$A86,4)="2021",'Calculated Variables'!$B86,"")</f>
        <v/>
      </c>
      <c r="C111" s="44" t="str">
        <f>IF(RIGHT('Calculated Variables'!$A86,4)="2021",'Calculated Variables'!$C86,"")</f>
        <v/>
      </c>
      <c r="D111" s="44" t="str">
        <f>IF(RIGHT('Calculated Variables'!$A86,4)="2021",'Calculated Variables'!$D86,"")</f>
        <v/>
      </c>
      <c r="E111" s="45" t="str">
        <f>IF(RIGHT('Calculated Variables'!$A86,4)="2021",'Calculated Variables'!$E86,"")</f>
        <v/>
      </c>
      <c r="F111" s="44" t="str">
        <f>IF(RIGHT('Calculated Variables'!$A86,4)="2021",'Calculated Variables'!$F86,"")</f>
        <v/>
      </c>
    </row>
    <row r="112" spans="1:6" ht="15" customHeight="1">
      <c r="A112" s="43" t="str">
        <f>IF(RIGHT('Calculated Variables'!$A87,4)="2021",'Calculated Variables'!$A87,"")</f>
        <v/>
      </c>
      <c r="B112" s="44" t="str">
        <f>IF(RIGHT('Calculated Variables'!$A87,4)="2021",'Calculated Variables'!$B87,"")</f>
        <v/>
      </c>
      <c r="C112" s="44" t="str">
        <f>IF(RIGHT('Calculated Variables'!$A87,4)="2021",'Calculated Variables'!$C87,"")</f>
        <v/>
      </c>
      <c r="D112" s="44" t="str">
        <f>IF(RIGHT('Calculated Variables'!$A87,4)="2021",'Calculated Variables'!$D87,"")</f>
        <v/>
      </c>
      <c r="E112" s="45" t="str">
        <f>IF(RIGHT('Calculated Variables'!$A87,4)="2021",'Calculated Variables'!$E87,"")</f>
        <v/>
      </c>
      <c r="F112" s="44" t="str">
        <f>IF(RIGHT('Calculated Variables'!$A87,4)="2021",'Calculated Variables'!$F87,"")</f>
        <v/>
      </c>
    </row>
    <row r="113" spans="1:6" ht="15" customHeight="1">
      <c r="A113" s="43" t="str">
        <f>IF(RIGHT('Calculated Variables'!$A88,4)="2021",'Calculated Variables'!$A88,"")</f>
        <v/>
      </c>
      <c r="B113" s="44" t="str">
        <f>IF(RIGHT('Calculated Variables'!$A88,4)="2021",'Calculated Variables'!$B88,"")</f>
        <v/>
      </c>
      <c r="C113" s="44" t="str">
        <f>IF(RIGHT('Calculated Variables'!$A88,4)="2021",'Calculated Variables'!$C88,"")</f>
        <v/>
      </c>
      <c r="D113" s="44" t="str">
        <f>IF(RIGHT('Calculated Variables'!$A88,4)="2021",'Calculated Variables'!$D88,"")</f>
        <v/>
      </c>
      <c r="E113" s="45" t="str">
        <f>IF(RIGHT('Calculated Variables'!$A88,4)="2021",'Calculated Variables'!$E88,"")</f>
        <v/>
      </c>
      <c r="F113" s="44" t="str">
        <f>IF(RIGHT('Calculated Variables'!$A88,4)="2021",'Calculated Variables'!$F88,"")</f>
        <v/>
      </c>
    </row>
    <row r="114" spans="1:6" ht="15" customHeight="1">
      <c r="A114" s="43" t="str">
        <f>IF(RIGHT('Calculated Variables'!$A89,4)="2021",'Calculated Variables'!$A89,"")</f>
        <v>Home First Finance Company India Ltd_2021</v>
      </c>
      <c r="B114" s="44">
        <f>IF(RIGHT('Calculated Variables'!$A89,4)="2021",'Calculated Variables'!$B89,"")</f>
        <v>5.9999999999999995E-4</v>
      </c>
      <c r="C114" s="44">
        <f>IF(RIGHT('Calculated Variables'!$A89,4)="2021",'Calculated Variables'!$C89,"")</f>
        <v>0.67720000000000002</v>
      </c>
      <c r="D114" s="44">
        <f>IF(RIGHT('Calculated Variables'!$A89,4)="2021",'Calculated Variables'!$D89,"")</f>
        <v>2.2200000000000001E-2</v>
      </c>
      <c r="E114" s="45">
        <f>IF(RIGHT('Calculated Variables'!$A89,4)="2021",'Calculated Variables'!$E89,"")</f>
        <v>8.4140999999999995</v>
      </c>
      <c r="F114" s="44">
        <f>IF(RIGHT('Calculated Variables'!$A89,4)="2021",'Calculated Variables'!$F89,"")</f>
        <v>0.33329999999999999</v>
      </c>
    </row>
    <row r="115" spans="1:6" ht="15" customHeight="1">
      <c r="A115" s="43" t="str">
        <f>IF(RIGHT('Calculated Variables'!$A90,4)="2021",'Calculated Variables'!$A90,"")</f>
        <v/>
      </c>
      <c r="B115" s="44" t="str">
        <f>IF(RIGHT('Calculated Variables'!$A90,4)="2021",'Calculated Variables'!$B90,"")</f>
        <v/>
      </c>
      <c r="C115" s="44" t="str">
        <f>IF(RIGHT('Calculated Variables'!$A90,4)="2021",'Calculated Variables'!$C90,"")</f>
        <v/>
      </c>
      <c r="D115" s="44" t="str">
        <f>IF(RIGHT('Calculated Variables'!$A90,4)="2021",'Calculated Variables'!$D90,"")</f>
        <v/>
      </c>
      <c r="E115" s="45" t="str">
        <f>IF(RIGHT('Calculated Variables'!$A90,4)="2021",'Calculated Variables'!$E90,"")</f>
        <v/>
      </c>
      <c r="F115" s="44" t="str">
        <f>IF(RIGHT('Calculated Variables'!$A90,4)="2021",'Calculated Variables'!$F90,"")</f>
        <v/>
      </c>
    </row>
    <row r="116" spans="1:6" ht="15" customHeight="1">
      <c r="A116" s="43" t="str">
        <f>IF(RIGHT('Calculated Variables'!$A91,4)="2021",'Calculated Variables'!$A91,"")</f>
        <v/>
      </c>
      <c r="B116" s="44" t="str">
        <f>IF(RIGHT('Calculated Variables'!$A91,4)="2021",'Calculated Variables'!$B91,"")</f>
        <v/>
      </c>
      <c r="C116" s="44" t="str">
        <f>IF(RIGHT('Calculated Variables'!$A91,4)="2021",'Calculated Variables'!$C91,"")</f>
        <v/>
      </c>
      <c r="D116" s="44" t="str">
        <f>IF(RIGHT('Calculated Variables'!$A91,4)="2021",'Calculated Variables'!$D91,"")</f>
        <v/>
      </c>
      <c r="E116" s="45" t="str">
        <f>IF(RIGHT('Calculated Variables'!$A91,4)="2021",'Calculated Variables'!$E91,"")</f>
        <v/>
      </c>
      <c r="F116" s="44" t="str">
        <f>IF(RIGHT('Calculated Variables'!$A91,4)="2021",'Calculated Variables'!$F91,"")</f>
        <v/>
      </c>
    </row>
    <row r="117" spans="1:6" ht="15" customHeight="1">
      <c r="A117" s="43" t="str">
        <f>IF(RIGHT('Calculated Variables'!$A92,4)="2021",'Calculated Variables'!$A92,"")</f>
        <v/>
      </c>
      <c r="B117" s="44" t="str">
        <f>IF(RIGHT('Calculated Variables'!$A92,4)="2021",'Calculated Variables'!$B92,"")</f>
        <v/>
      </c>
      <c r="C117" s="44" t="str">
        <f>IF(RIGHT('Calculated Variables'!$A92,4)="2021",'Calculated Variables'!$C92,"")</f>
        <v/>
      </c>
      <c r="D117" s="44" t="str">
        <f>IF(RIGHT('Calculated Variables'!$A92,4)="2021",'Calculated Variables'!$D92,"")</f>
        <v/>
      </c>
      <c r="E117" s="45" t="str">
        <f>IF(RIGHT('Calculated Variables'!$A92,4)="2021",'Calculated Variables'!$E92,"")</f>
        <v/>
      </c>
      <c r="F117" s="44" t="str">
        <f>IF(RIGHT('Calculated Variables'!$A92,4)="2021",'Calculated Variables'!$F92,"")</f>
        <v/>
      </c>
    </row>
    <row r="118" spans="1:6" ht="15" customHeight="1">
      <c r="A118" s="43" t="str">
        <f>IF(RIGHT('Calculated Variables'!$A93,4)="2021",'Calculated Variables'!$A93,"")</f>
        <v>Ugro Capital Ltd_2021</v>
      </c>
      <c r="B118" s="44">
        <f>IF(RIGHT('Calculated Variables'!$A93,4)="2021",'Calculated Variables'!$B93,"")</f>
        <v>6.8999999999999999E-3</v>
      </c>
      <c r="C118" s="44">
        <f>IF(RIGHT('Calculated Variables'!$A93,4)="2021",'Calculated Variables'!$C93,"")</f>
        <v>0.43730000000000002</v>
      </c>
      <c r="D118" s="44">
        <f>IF(RIGHT('Calculated Variables'!$A93,4)="2021",'Calculated Variables'!$D93,"")</f>
        <v>1.6400000000000001E-2</v>
      </c>
      <c r="E118" s="45">
        <f>IF(RIGHT('Calculated Variables'!$A93,4)="2021",'Calculated Variables'!$E93,"")</f>
        <v>7.4679000000000002</v>
      </c>
      <c r="F118" s="44">
        <f>IF(RIGHT('Calculated Variables'!$A93,4)="2021",'Calculated Variables'!$F93,"")</f>
        <v>0.53849999999999998</v>
      </c>
    </row>
    <row r="119" spans="1:6" ht="15" customHeight="1">
      <c r="A119" s="43" t="str">
        <f>IF(RIGHT('Calculated Variables'!$A94,4)="2021",'Calculated Variables'!$A94,"")</f>
        <v/>
      </c>
      <c r="B119" s="44" t="str">
        <f>IF(RIGHT('Calculated Variables'!$A94,4)="2021",'Calculated Variables'!$B94,"")</f>
        <v/>
      </c>
      <c r="C119" s="44" t="str">
        <f>IF(RIGHT('Calculated Variables'!$A94,4)="2021",'Calculated Variables'!$C94,"")</f>
        <v/>
      </c>
      <c r="D119" s="44" t="str">
        <f>IF(RIGHT('Calculated Variables'!$A94,4)="2021",'Calculated Variables'!$D94,"")</f>
        <v/>
      </c>
      <c r="E119" s="45" t="str">
        <f>IF(RIGHT('Calculated Variables'!$A94,4)="2021",'Calculated Variables'!$E94,"")</f>
        <v/>
      </c>
      <c r="F119" s="44" t="str">
        <f>IF(RIGHT('Calculated Variables'!$A94,4)="2021",'Calculated Variables'!$F94,"")</f>
        <v/>
      </c>
    </row>
    <row r="120" spans="1:6" ht="15" customHeight="1">
      <c r="A120" s="43" t="str">
        <f>IF(RIGHT('Calculated Variables'!$A95,4)="2021",'Calculated Variables'!$A95,"")</f>
        <v/>
      </c>
      <c r="B120" s="44" t="str">
        <f>IF(RIGHT('Calculated Variables'!$A95,4)="2021",'Calculated Variables'!$B95,"")</f>
        <v/>
      </c>
      <c r="C120" s="44" t="str">
        <f>IF(RIGHT('Calculated Variables'!$A95,4)="2021",'Calculated Variables'!$C95,"")</f>
        <v/>
      </c>
      <c r="D120" s="44" t="str">
        <f>IF(RIGHT('Calculated Variables'!$A95,4)="2021",'Calculated Variables'!$D95,"")</f>
        <v/>
      </c>
      <c r="E120" s="45" t="str">
        <f>IF(RIGHT('Calculated Variables'!$A95,4)="2021",'Calculated Variables'!$E95,"")</f>
        <v/>
      </c>
      <c r="F120" s="44" t="str">
        <f>IF(RIGHT('Calculated Variables'!$A95,4)="2021",'Calculated Variables'!$F95,"")</f>
        <v/>
      </c>
    </row>
    <row r="121" spans="1:6" ht="15" customHeight="1">
      <c r="A121" s="43" t="str">
        <f>IF(RIGHT('Calculated Variables'!$A96,4)="2021",'Calculated Variables'!$A96,"")</f>
        <v/>
      </c>
      <c r="B121" s="44" t="str">
        <f>IF(RIGHT('Calculated Variables'!$A96,4)="2021",'Calculated Variables'!$B96,"")</f>
        <v/>
      </c>
      <c r="C121" s="44" t="str">
        <f>IF(RIGHT('Calculated Variables'!$A96,4)="2021",'Calculated Variables'!$C96,"")</f>
        <v/>
      </c>
      <c r="D121" s="44" t="str">
        <f>IF(RIGHT('Calculated Variables'!$A96,4)="2021",'Calculated Variables'!$D96,"")</f>
        <v/>
      </c>
      <c r="E121" s="45" t="str">
        <f>IF(RIGHT('Calculated Variables'!$A96,4)="2021",'Calculated Variables'!$E96,"")</f>
        <v/>
      </c>
      <c r="F121" s="44" t="str">
        <f>IF(RIGHT('Calculated Variables'!$A96,4)="2021",'Calculated Variables'!$F96,"")</f>
        <v/>
      </c>
    </row>
    <row r="122" spans="1:6" ht="15" customHeight="1">
      <c r="A122" s="43" t="str">
        <f>IF(RIGHT('Calculated Variables'!$A97,4)="2021",'Calculated Variables'!$A97,"")</f>
        <v>CreditAccess Grameen Ltd_2021</v>
      </c>
      <c r="B122" s="44">
        <f>IF(RIGHT('Calculated Variables'!$A97,4)="2021",'Calculated Variables'!$B97,"")</f>
        <v>1E-3</v>
      </c>
      <c r="C122" s="44">
        <f>IF(RIGHT('Calculated Variables'!$A97,4)="2021",'Calculated Variables'!$C97,"")</f>
        <v>0.71970000000000001</v>
      </c>
      <c r="D122" s="44">
        <f>IF(RIGHT('Calculated Variables'!$A97,4)="2021",'Calculated Variables'!$D97,"")</f>
        <v>8.6999999999999994E-3</v>
      </c>
      <c r="E122" s="45">
        <f>IF(RIGHT('Calculated Variables'!$A97,4)="2021",'Calculated Variables'!$E97,"")</f>
        <v>9.6196999999999999</v>
      </c>
      <c r="F122" s="44">
        <f>IF(RIGHT('Calculated Variables'!$A97,4)="2021",'Calculated Variables'!$F97,"")</f>
        <v>0.5</v>
      </c>
    </row>
    <row r="123" spans="1:6" ht="15" customHeight="1">
      <c r="A123" s="43" t="str">
        <f>IF(RIGHT('Calculated Variables'!$A98,4)="2021",'Calculated Variables'!$A98,"")</f>
        <v/>
      </c>
      <c r="B123" s="44" t="str">
        <f>IF(RIGHT('Calculated Variables'!$A98,4)="2021",'Calculated Variables'!$B98,"")</f>
        <v/>
      </c>
      <c r="C123" s="44" t="str">
        <f>IF(RIGHT('Calculated Variables'!$A98,4)="2021",'Calculated Variables'!$C98,"")</f>
        <v/>
      </c>
      <c r="D123" s="44" t="str">
        <f>IF(RIGHT('Calculated Variables'!$A98,4)="2021",'Calculated Variables'!$D98,"")</f>
        <v/>
      </c>
      <c r="E123" s="45" t="str">
        <f>IF(RIGHT('Calculated Variables'!$A98,4)="2021",'Calculated Variables'!$E98,"")</f>
        <v/>
      </c>
      <c r="F123" s="44" t="str">
        <f>IF(RIGHT('Calculated Variables'!$A98,4)="2021",'Calculated Variables'!$F98,"")</f>
        <v/>
      </c>
    </row>
    <row r="124" spans="1:6" ht="15" customHeight="1">
      <c r="A124" s="43" t="str">
        <f>IF(RIGHT('Calculated Variables'!$A99,4)="2021",'Calculated Variables'!$A99,"")</f>
        <v/>
      </c>
      <c r="B124" s="44" t="str">
        <f>IF(RIGHT('Calculated Variables'!$A99,4)="2021",'Calculated Variables'!$B99,"")</f>
        <v/>
      </c>
      <c r="C124" s="44" t="str">
        <f>IF(RIGHT('Calculated Variables'!$A99,4)="2021",'Calculated Variables'!$C99,"")</f>
        <v/>
      </c>
      <c r="D124" s="44" t="str">
        <f>IF(RIGHT('Calculated Variables'!$A99,4)="2021",'Calculated Variables'!$D99,"")</f>
        <v/>
      </c>
      <c r="E124" s="45" t="str">
        <f>IF(RIGHT('Calculated Variables'!$A99,4)="2021",'Calculated Variables'!$E99,"")</f>
        <v/>
      </c>
      <c r="F124" s="44" t="str">
        <f>IF(RIGHT('Calculated Variables'!$A99,4)="2021",'Calculated Variables'!$F99,"")</f>
        <v/>
      </c>
    </row>
    <row r="125" spans="1:6" ht="15" customHeight="1">
      <c r="A125" s="43" t="str">
        <f>IF(RIGHT('Calculated Variables'!$A100,4)="2021",'Calculated Variables'!$A100,"")</f>
        <v/>
      </c>
      <c r="B125" s="44" t="str">
        <f>IF(RIGHT('Calculated Variables'!$A100,4)="2021",'Calculated Variables'!$B100,"")</f>
        <v/>
      </c>
      <c r="C125" s="44" t="str">
        <f>IF(RIGHT('Calculated Variables'!$A100,4)="2021",'Calculated Variables'!$C100,"")</f>
        <v/>
      </c>
      <c r="D125" s="44" t="str">
        <f>IF(RIGHT('Calculated Variables'!$A100,4)="2021",'Calculated Variables'!$D100,"")</f>
        <v/>
      </c>
      <c r="E125" s="45" t="str">
        <f>IF(RIGHT('Calculated Variables'!$A100,4)="2021",'Calculated Variables'!$E100,"")</f>
        <v/>
      </c>
      <c r="F125" s="44" t="str">
        <f>IF(RIGHT('Calculated Variables'!$A100,4)="2021",'Calculated Variables'!$F100,"")</f>
        <v/>
      </c>
    </row>
    <row r="126" spans="1:6" ht="15" customHeight="1">
      <c r="A126" s="43" t="str">
        <f>IF(RIGHT('Calculated Variables'!$A101,4)="2021",'Calculated Variables'!$A101,"")</f>
        <v>MAS Financial Services Ltd_2021</v>
      </c>
      <c r="B126" s="44">
        <f>IF(RIGHT('Calculated Variables'!$A101,4)="2021",'Calculated Variables'!$B101,"")</f>
        <v>4.0000000000000002E-4</v>
      </c>
      <c r="C126" s="44">
        <f>IF(RIGHT('Calculated Variables'!$A101,4)="2021",'Calculated Variables'!$C101,"")</f>
        <v>0.64700000000000002</v>
      </c>
      <c r="D126" s="44">
        <f>IF(RIGHT('Calculated Variables'!$A101,4)="2021",'Calculated Variables'!$D101,"")</f>
        <v>2.6800000000000001E-2</v>
      </c>
      <c r="E126" s="45">
        <f>IF(RIGHT('Calculated Variables'!$A101,4)="2021",'Calculated Variables'!$E101,"")</f>
        <v>8.5996000000000006</v>
      </c>
      <c r="F126" s="44">
        <f>IF(RIGHT('Calculated Variables'!$A101,4)="2021",'Calculated Variables'!$F101,"")</f>
        <v>0.66669999999999996</v>
      </c>
    </row>
    <row r="127" spans="1:6" ht="15" customHeight="1">
      <c r="A127" s="43" t="str">
        <f>IF(RIGHT('Calculated Variables'!$A102,4)="2021",'Calculated Variables'!$A102,"")</f>
        <v/>
      </c>
      <c r="B127" s="44" t="str">
        <f>IF(RIGHT('Calculated Variables'!$A102,4)="2021",'Calculated Variables'!$B102,"")</f>
        <v/>
      </c>
      <c r="C127" s="44" t="str">
        <f>IF(RIGHT('Calculated Variables'!$A102,4)="2021",'Calculated Variables'!$C102,"")</f>
        <v/>
      </c>
      <c r="D127" s="44" t="str">
        <f>IF(RIGHT('Calculated Variables'!$A102,4)="2021",'Calculated Variables'!$D102,"")</f>
        <v/>
      </c>
      <c r="E127" s="45" t="str">
        <f>IF(RIGHT('Calculated Variables'!$A102,4)="2021",'Calculated Variables'!$E102,"")</f>
        <v/>
      </c>
      <c r="F127" s="44" t="str">
        <f>IF(RIGHT('Calculated Variables'!$A102,4)="2021",'Calculated Variables'!$F102,"")</f>
        <v/>
      </c>
    </row>
    <row r="128" spans="1:6" ht="15" customHeight="1">
      <c r="A128" s="43" t="str">
        <f>IF(RIGHT('Calculated Variables'!$A103,4)="2021",'Calculated Variables'!$A103,"")</f>
        <v/>
      </c>
      <c r="B128" s="44" t="str">
        <f>IF(RIGHT('Calculated Variables'!$A103,4)="2021",'Calculated Variables'!$B103,"")</f>
        <v/>
      </c>
      <c r="C128" s="44" t="str">
        <f>IF(RIGHT('Calculated Variables'!$A103,4)="2021",'Calculated Variables'!$C103,"")</f>
        <v/>
      </c>
      <c r="D128" s="44" t="str">
        <f>IF(RIGHT('Calculated Variables'!$A103,4)="2021",'Calculated Variables'!$D103,"")</f>
        <v/>
      </c>
      <c r="E128" s="45" t="str">
        <f>IF(RIGHT('Calculated Variables'!$A103,4)="2021",'Calculated Variables'!$E103,"")</f>
        <v/>
      </c>
      <c r="F128" s="44" t="str">
        <f>IF(RIGHT('Calculated Variables'!$A103,4)="2021",'Calculated Variables'!$F103,"")</f>
        <v/>
      </c>
    </row>
    <row r="129" spans="1:6" ht="15" customHeight="1">
      <c r="A129" s="43" t="str">
        <f>IF(RIGHT('Calculated Variables'!$A104,4)="2021",'Calculated Variables'!$A104,"")</f>
        <v/>
      </c>
      <c r="B129" s="44" t="str">
        <f>IF(RIGHT('Calculated Variables'!$A104,4)="2021",'Calculated Variables'!$B104,"")</f>
        <v/>
      </c>
      <c r="C129" s="44" t="str">
        <f>IF(RIGHT('Calculated Variables'!$A104,4)="2021",'Calculated Variables'!$C104,"")</f>
        <v/>
      </c>
      <c r="D129" s="44" t="str">
        <f>IF(RIGHT('Calculated Variables'!$A104,4)="2021",'Calculated Variables'!$D104,"")</f>
        <v/>
      </c>
      <c r="E129" s="45" t="str">
        <f>IF(RIGHT('Calculated Variables'!$A104,4)="2021",'Calculated Variables'!$E104,"")</f>
        <v/>
      </c>
      <c r="F129" s="44" t="str">
        <f>IF(RIGHT('Calculated Variables'!$A104,4)="2021",'Calculated Variables'!$F104,"")</f>
        <v/>
      </c>
    </row>
  </sheetData>
  <mergeCells count="6">
    <mergeCell ref="A28:F28"/>
    <mergeCell ref="A1:G1"/>
    <mergeCell ref="A2:G2"/>
    <mergeCell ref="A4:G4"/>
    <mergeCell ref="A13:G13"/>
    <mergeCell ref="A22:G25"/>
  </mergeCells>
  <conditionalFormatting sqref="B30:F129">
    <cfRule type="cellIs" dxfId="2" priority="4" operator="lessThan">
      <formula>0</formula>
    </cfRule>
  </conditionalFormatting>
  <conditionalFormatting sqref="C6:G10">
    <cfRule type="cellIs" dxfId="1" priority="2" operator="lessThan">
      <formula>0</formula>
    </cfRule>
  </conditionalFormatting>
  <conditionalFormatting sqref="C15:G19">
    <cfRule type="cellIs" dxfId="0" priority="3" operator="lessThan">
      <formula>0</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showGridLines="0" zoomScaleNormal="100" workbookViewId="0">
      <selection activeCell="C19" sqref="C19"/>
    </sheetView>
  </sheetViews>
  <sheetFormatPr defaultColWidth="8.6640625" defaultRowHeight="14.4"/>
  <cols>
    <col min="1" max="1" width="22" customWidth="1"/>
    <col min="2" max="6" width="16" customWidth="1"/>
  </cols>
  <sheetData>
    <row r="1" spans="1:6" ht="15" customHeight="1">
      <c r="A1" s="2" t="s">
        <v>247</v>
      </c>
    </row>
    <row r="2" spans="1:6" ht="15" customHeight="1">
      <c r="A2" s="46" t="s">
        <v>236</v>
      </c>
    </row>
    <row r="4" spans="1:6" ht="15" customHeight="1">
      <c r="A4" s="3" t="s">
        <v>248</v>
      </c>
    </row>
    <row r="5" spans="1:6" ht="27.75" customHeight="1">
      <c r="A5" s="47"/>
      <c r="B5" s="48" t="s">
        <v>207</v>
      </c>
      <c r="C5" s="48" t="s">
        <v>208</v>
      </c>
      <c r="D5" s="48" t="s">
        <v>209</v>
      </c>
      <c r="E5" s="48" t="s">
        <v>210</v>
      </c>
      <c r="F5" s="48" t="s">
        <v>211</v>
      </c>
    </row>
    <row r="6" spans="1:6" ht="18" customHeight="1">
      <c r="A6" s="49" t="s">
        <v>207</v>
      </c>
      <c r="B6" s="50">
        <f>CORREL('Calculated Variables'!$B$5:$B$104,'Calculated Variables'!$B$5:$B$104)</f>
        <v>0.99999999999999989</v>
      </c>
      <c r="C6" s="51">
        <f>CORREL('Calculated Variables'!$B$5:$B$104,'Calculated Variables'!$C$5:$C$104)</f>
        <v>-0.37997416609765533</v>
      </c>
      <c r="D6" s="50">
        <f>CORREL('Calculated Variables'!$B$5:$B$104,'Calculated Variables'!$D$5:$D$104)</f>
        <v>0.20894462389844573</v>
      </c>
      <c r="E6" s="51">
        <f>CORREL('Calculated Variables'!$B$5:$B$104,'Calculated Variables'!$E$5:$E$104)</f>
        <v>-0.2774167299205183</v>
      </c>
      <c r="F6" s="50">
        <f>CORREL('Calculated Variables'!$B$5:$B$104,'Calculated Variables'!$F$5:$F$104)</f>
        <v>7.8341664048627732E-2</v>
      </c>
    </row>
    <row r="7" spans="1:6" ht="18" customHeight="1">
      <c r="A7" s="49" t="s">
        <v>208</v>
      </c>
      <c r="B7" s="51">
        <f>C6</f>
        <v>-0.37997416609765533</v>
      </c>
      <c r="C7" s="50">
        <f>CORREL('Calculated Variables'!$C$5:$C$104,'Calculated Variables'!$C$5:$C$104)</f>
        <v>1</v>
      </c>
      <c r="D7" s="51">
        <f>CORREL('Calculated Variables'!$C$5:$C$104,'Calculated Variables'!$D$5:$D$104)</f>
        <v>-0.12960327845582631</v>
      </c>
      <c r="E7" s="50">
        <f>CORREL('Calculated Variables'!$C$5:$C$104,'Calculated Variables'!$E$5:$E$104)</f>
        <v>0.30628382978336338</v>
      </c>
      <c r="F7" s="51">
        <f>CORREL('Calculated Variables'!$C$5:$C$104,'Calculated Variables'!$F$5:$F$104)</f>
        <v>-0.16998260012432578</v>
      </c>
    </row>
    <row r="8" spans="1:6" ht="18" customHeight="1">
      <c r="A8" s="49" t="s">
        <v>209</v>
      </c>
      <c r="B8" s="50">
        <f>D6</f>
        <v>0.20894462389844573</v>
      </c>
      <c r="C8" s="51">
        <f>D7</f>
        <v>-0.12960327845582631</v>
      </c>
      <c r="D8" s="50">
        <f>CORREL('Calculated Variables'!$D$5:$D$104,'Calculated Variables'!$D$5:$D$104)</f>
        <v>1.0000000000000002</v>
      </c>
      <c r="E8" s="51">
        <f>CORREL('Calculated Variables'!$D$5:$D$104,'Calculated Variables'!$E$5:$E$104)</f>
        <v>-0.53369412915121917</v>
      </c>
      <c r="F8" s="51">
        <f>CORREL('Calculated Variables'!$D$5:$D$104,'Calculated Variables'!$F$5:$F$104)</f>
        <v>-0.40813992863269127</v>
      </c>
    </row>
    <row r="9" spans="1:6" ht="18" customHeight="1">
      <c r="A9" s="49" t="s">
        <v>210</v>
      </c>
      <c r="B9" s="51">
        <f>E6</f>
        <v>-0.2774167299205183</v>
      </c>
      <c r="C9" s="50">
        <f>E7</f>
        <v>0.30628382978336338</v>
      </c>
      <c r="D9" s="51">
        <f>E8</f>
        <v>-0.53369412915121917</v>
      </c>
      <c r="E9" s="50">
        <f>CORREL('Calculated Variables'!$E$5:$E$104,'Calculated Variables'!$E$5:$E$104)</f>
        <v>1</v>
      </c>
      <c r="F9" s="50">
        <f>CORREL('Calculated Variables'!$E$5:$E$104,'Calculated Variables'!$F$5:$F$104)</f>
        <v>0.40003467931037073</v>
      </c>
    </row>
    <row r="10" spans="1:6" ht="18" customHeight="1">
      <c r="A10" s="49" t="s">
        <v>211</v>
      </c>
      <c r="B10" s="50">
        <f>F6</f>
        <v>7.8341664048627732E-2</v>
      </c>
      <c r="C10" s="51">
        <f>F7</f>
        <v>-0.16998260012432578</v>
      </c>
      <c r="D10" s="51">
        <f>F8</f>
        <v>-0.40813992863269127</v>
      </c>
      <c r="E10" s="50">
        <f>F9</f>
        <v>0.40003467931037073</v>
      </c>
      <c r="F10" s="50">
        <f>CORREL('Calculated Variables'!$F$5:$F$104,'Calculated Variables'!$F$5:$F$104)</f>
        <v>0.99999999999999978</v>
      </c>
    </row>
    <row r="12" spans="1:6" ht="15" customHeight="1">
      <c r="A12" s="52" t="s">
        <v>249</v>
      </c>
    </row>
    <row r="13" spans="1:6" ht="48" customHeight="1">
      <c r="A13" s="64" t="s">
        <v>250</v>
      </c>
      <c r="B13" s="64"/>
      <c r="C13" s="64"/>
      <c r="D13" s="64"/>
      <c r="E13" s="64"/>
    </row>
  </sheetData>
  <mergeCells count="1">
    <mergeCell ref="A13:E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Sample Selection Criteria</vt:lpstr>
      <vt:lpstr>Raw Data</vt:lpstr>
      <vt:lpstr>Calculated Variables</vt:lpstr>
      <vt:lpstr>Descriptive Statistics</vt:lpstr>
      <vt:lpstr>Correlation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FinTech Governance Sample Data</dc:title>
  <dc:subject/>
  <dc:creator/>
  <dc:description/>
  <cp:lastModifiedBy>kirat kaur</cp:lastModifiedBy>
  <cp:revision>0</cp:revision>
  <dcterms:created xsi:type="dcterms:W3CDTF">2026-09-14T02:32:44Z</dcterms:created>
  <dcterms:modified xsi:type="dcterms:W3CDTF">2026-09-19T14:19:44Z</dcterms:modified>
  <dc:language>en-US</dc:language>
</cp:coreProperties>
</file>